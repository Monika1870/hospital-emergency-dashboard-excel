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HP\Desktop\Github\Hospital_Emergency_Room_Dashboard-main\Dashboard\"/>
    </mc:Choice>
  </mc:AlternateContent>
  <xr:revisionPtr revIDLastSave="0" documentId="13_ncr:1_{8FB4DF41-972E-4CE3-9EAE-B3690C17E3E3}" xr6:coauthVersionLast="47" xr6:coauthVersionMax="47" xr10:uidLastSave="{00000000-0000-0000-0000-000000000000}"/>
  <bookViews>
    <workbookView xWindow="-108" yWindow="-108" windowWidth="23256" windowHeight="12456" activeTab="1" xr2:uid="{8959012C-BDEA-40D0-9CE3-8D4E4B7457C9}"/>
  </bookViews>
  <sheets>
    <sheet name="Pivot Report" sheetId="1" r:id="rId1"/>
    <sheet name="Dashboard" sheetId="2" r:id="rId2"/>
    <sheet name="Daily ER No. of Patient" sheetId="3" r:id="rId3"/>
    <sheet name="Average Wait Time" sheetId="4" r:id="rId4"/>
    <sheet name="Satisfaction Score Daily Trend" sheetId="5" r:id="rId5"/>
  </sheets>
  <definedNames>
    <definedName name="Slicer_Date__Month">#N/A</definedName>
    <definedName name="Slicer_Date__Year">#N/A</definedName>
  </definedNames>
  <calcPr calcId="191029"/>
  <pivotCaches>
    <pivotCache cacheId="879" r:id="rId6"/>
    <pivotCache cacheId="882" r:id="rId7"/>
    <pivotCache cacheId="885" r:id="rId8"/>
    <pivotCache cacheId="888" r:id="rId9"/>
    <pivotCache cacheId="891" r:id="rId10"/>
    <pivotCache cacheId="894" r:id="rId11"/>
    <pivotCache cacheId="897" r:id="rId12"/>
    <pivotCache cacheId="900" r:id="rId13"/>
    <pivotCache cacheId="903" r:id="rId14"/>
    <pivotCache cacheId="906" r:id="rId15"/>
    <pivotCache cacheId="909" r:id="rId16"/>
    <pivotCache cacheId="912"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2dde2955-64b8-4a37-9304-c65a322773b7" name="Hospital Emergency Room Data" connection="Query - Hospital Emergency Room Data"/>
          <x15:modelTable id="Calendar_Table_e0c874a4-3a19-42b2-8fcf-b37adc74b8b6"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47" i="1" l="1"/>
  <c r="C47" i="1"/>
  <c r="B46" i="1"/>
  <c r="C46" i="1"/>
  <c r="A46" i="1"/>
  <c r="A4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54FE42-C579-49EB-B44C-B8E976C9E78B}" name="Query - Calendar_Table" description="Connection to the 'Calendar_Table' query in the workbook." type="100" refreshedVersion="8" minRefreshableVersion="5">
    <extLst>
      <ext xmlns:x15="http://schemas.microsoft.com/office/spreadsheetml/2010/11/main" uri="{DE250136-89BD-433C-8126-D09CA5730AF9}">
        <x15:connection id="d4a9119b-1cbf-4665-b4b5-5676234f8e93"/>
      </ext>
    </extLst>
  </connection>
  <connection id="2" xr16:uid="{EA2CDBC0-06B3-458D-B57C-854637B997D2}"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0fd420c7-d94b-43e9-9b88-835678fb08e3"/>
      </ext>
    </extLst>
  </connection>
  <connection id="3" xr16:uid="{CA95D261-6ACF-4BEB-A697-78E7D095B00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<sst xmlns="http://schemas.openxmlformats.org/spreadsheetml/2006/main" count="158" uniqueCount="77">
  <si>
    <t>Row Labels</t>
  </si>
  <si>
    <t>Grand Total</t>
  </si>
  <si>
    <t>Distinct Count of Patient Id</t>
  </si>
  <si>
    <t>Average of Patient Waittime</t>
  </si>
  <si>
    <t>Average of Patient Satisfaction Score</t>
  </si>
  <si>
    <t>Daily Trend of No. of Patients visiting ER</t>
  </si>
  <si>
    <t>Average Wait Time</t>
  </si>
  <si>
    <t>Satisfaction Score Daily Trend</t>
  </si>
  <si>
    <t>Admitted</t>
  </si>
  <si>
    <t>Not Admitted</t>
  </si>
  <si>
    <t>Count of Patient Admission Flag</t>
  </si>
  <si>
    <t>Count of Patient Admission Flag2</t>
  </si>
  <si>
    <t>Admission Status</t>
  </si>
  <si>
    <t>No. of Patient</t>
  </si>
  <si>
    <t>% Status</t>
  </si>
  <si>
    <t>0-9</t>
  </si>
  <si>
    <t>10-09</t>
  </si>
  <si>
    <t>20-19</t>
  </si>
  <si>
    <t>30-39</t>
  </si>
  <si>
    <t>40-49</t>
  </si>
  <si>
    <t>50-59</t>
  </si>
  <si>
    <t>60-69</t>
  </si>
  <si>
    <t>70-79</t>
  </si>
  <si>
    <t>Count of Age Group</t>
  </si>
  <si>
    <t>Age Group wise Analysis</t>
  </si>
  <si>
    <t>Ontime</t>
  </si>
  <si>
    <t>Delay</t>
  </si>
  <si>
    <t>Count of Patient Attend Status</t>
  </si>
  <si>
    <t>Attended  Status</t>
  </si>
  <si>
    <t>Female</t>
  </si>
  <si>
    <t>Male</t>
  </si>
  <si>
    <t>Count of Patient Gender</t>
  </si>
  <si>
    <t>Gender wise Analysis</t>
  </si>
  <si>
    <t>Cardiology</t>
  </si>
  <si>
    <t>Gastroenterology</t>
  </si>
  <si>
    <t>General Practice</t>
  </si>
  <si>
    <t>Neurology</t>
  </si>
  <si>
    <t>None</t>
  </si>
  <si>
    <t>Orthopedics</t>
  </si>
  <si>
    <t>Physiotherapy</t>
  </si>
  <si>
    <t>Renal</t>
  </si>
  <si>
    <t>Count of Department Referral</t>
  </si>
  <si>
    <t>No. of Patient by Department Referal</t>
  </si>
  <si>
    <t>2023</t>
  </si>
  <si>
    <t>2024</t>
  </si>
  <si>
    <t>Qtr2</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</si>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</sst>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Aptos Narrow"/>
      <family val="2"/>
      <scheme val="minor"/>
    </font>
    <font>
      <sz val="11"/>
      <color theme="1"/>
      <name val="Aptos Narrow"/>
      <family val="2"/>
      <scheme val="minor"/>
    </font>
    <font>
      <sz val="11"/>
      <color theme="4" tint="-0.499984740745262"/>
      <name val="Aptos Narrow"/>
      <family val="2"/>
      <scheme val="minor"/>
    </font>
    <font>
      <u/>
      <sz val="11"/>
      <color theme="4" tint="-0.499984740745262"/>
      <name val="Aptos Narrow"/>
      <family val="2"/>
      <scheme val="minor"/>
    </font>
    <font>
      <sz val="14"/>
      <color theme="1"/>
      <name val="Aptos Narrow"/>
      <family val="2"/>
      <scheme val="minor"/>
    </font>
  </fonts>
  <fills count="5">
    <fill>
      <patternFill patternType="none"/>
    </fill>
    <fill>
      <patternFill patternType="gray125"/>
    </fill>
    <fill>
      <patternFill patternType="solid">
        <fgColor theme="4" tint="-0.499984740745262"/>
        <bgColor indexed="64"/>
      </patternFill>
    </fill>
    <fill>
      <patternFill patternType="solid">
        <fgColor theme="3" tint="0.89999084444715716"/>
        <bgColor indexed="64"/>
      </patternFill>
    </fill>
    <fill>
      <patternFill patternType="solid">
        <fgColor theme="4" tint="0.59999389629810485"/>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2" borderId="0" xfId="0" applyFill="1"/>
    <xf numFmtId="0" fontId="2" fillId="3" borderId="0" xfId="0" applyFont="1" applyFill="1"/>
    <xf numFmtId="0" fontId="0" fillId="3" borderId="0" xfId="0" applyFill="1"/>
    <xf numFmtId="0" fontId="3" fillId="3" borderId="0" xfId="0" applyFont="1" applyFill="1"/>
    <xf numFmtId="1" fontId="0" fillId="0" borderId="0" xfId="0" applyNumberFormat="1"/>
    <xf numFmtId="10" fontId="0" fillId="0" borderId="0" xfId="0" applyNumberFormat="1"/>
    <xf numFmtId="0" fontId="4" fillId="3" borderId="0" xfId="0" applyFont="1" applyFill="1" applyAlignment="1">
      <alignment horizontal="center" vertical="center"/>
    </xf>
    <xf numFmtId="9" fontId="4" fillId="3" borderId="0" xfId="1" applyFont="1" applyFill="1" applyAlignment="1">
      <alignment horizontal="center" vertical="center"/>
    </xf>
    <xf numFmtId="0" fontId="0" fillId="0" borderId="0" xfId="0" applyAlignment="1">
      <alignment horizontal="left" indent="1"/>
    </xf>
    <xf numFmtId="0" fontId="0" fillId="0" borderId="0" xfId="0" applyAlignment="1">
      <alignment horizontal="left" indent="2"/>
    </xf>
    <xf numFmtId="14" fontId="0" fillId="0" borderId="0" xfId="0" applyNumberFormat="1" applyAlignment="1">
      <alignment horizontal="left" indent="3"/>
    </xf>
    <xf numFmtId="0" fontId="0" fillId="0" borderId="0" xfId="0" applyNumberFormat="1"/>
    <xf numFmtId="0" fontId="4" fillId="4" borderId="0" xfId="0" applyFont="1" applyFill="1" applyAlignment="1">
      <alignment horizontal="center" vertical="center"/>
    </xf>
    <xf numFmtId="0" fontId="0" fillId="4" borderId="0" xfId="0" applyFill="1"/>
  </cellXfs>
  <cellStyles count="2">
    <cellStyle name="Normal" xfId="0" builtinId="0"/>
    <cellStyle name="Percent" xfId="1" builtinId="5"/>
  </cellStyles>
  <dxfs count="19">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font>
        <b/>
        <color theme="1"/>
      </font>
      <border>
        <bottom style="thin">
          <color theme="4"/>
        </bottom>
        <vertical/>
        <horizontal/>
      </border>
    </dxf>
    <dxf>
      <font>
        <color theme="1"/>
      </font>
      <fill>
        <patternFill>
          <bgColor theme="3" tint="0.89996032593768116"/>
        </patternFill>
      </fill>
      <border diagonalUp="0" diagonalDown="0">
        <left/>
        <right/>
        <top/>
        <bottom/>
        <vertical/>
        <horizontal/>
      </border>
    </dxf>
    <dxf>
      <font>
        <b/>
        <color theme="1"/>
      </font>
      <border>
        <bottom style="thin">
          <color theme="4"/>
        </bottom>
        <vertical/>
        <horizontal/>
      </border>
    </dxf>
    <dxf>
      <font>
        <color theme="1"/>
      </font>
      <fill>
        <patternFill>
          <bgColor theme="3" tint="0.89996032593768116"/>
        </patternFill>
      </fill>
      <border diagonalUp="0" diagonalDown="0">
        <left style="thin">
          <color auto="1"/>
        </left>
        <right style="thin">
          <color auto="1"/>
        </right>
        <top style="thin">
          <color auto="1"/>
        </top>
        <bottom style="thin">
          <color auto="1"/>
        </bottom>
        <vertical/>
        <horizontal/>
      </border>
    </dxf>
  </dxfs>
  <tableStyles count="2" defaultTableStyle="TableStyleMedium2" defaultPivotStyle="PivotStyleLight16">
    <tableStyle name="My Style" pivot="0" table="0" count="10" xr9:uid="{4B824F42-19A4-4909-9469-687E36D16FD4}">
      <tableStyleElement type="wholeTable" dxfId="18"/>
      <tableStyleElement type="headerRow" dxfId="17"/>
    </tableStyle>
    <tableStyle name="My Style 2" pivot="0" table="0" count="10" xr9:uid="{E317FF7E-8D3D-4F71-80DD-784D75175BE2}">
      <tableStyleElement type="wholeTable" dxfId="16"/>
      <tableStyleElement type="headerRow" dxfId="15"/>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1"/>
          </font>
          <fill>
            <patternFill patternType="solid">
              <fgColor theme="4" tint="0.59999389629810485"/>
              <bgColor theme="3" tint="9.9948118533890809E-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3" tint="0.89996032593768116"/>
          </font>
          <fill>
            <patternFill patternType="solid">
              <fgColor theme="4" tint="0.59999389629810485"/>
              <bgColor theme="3" tint="9.9948118533890809E-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2" tint="-0.24994659260841701"/>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 Style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microsoft.com/office/2022/10/relationships/richValueRel" Target="richData/richValueRel.xml"/><Relationship Id="rId39" Type="http://schemas.openxmlformats.org/officeDocument/2006/relationships/customXml" Target="../customXml/item8.xml"/><Relationship Id="rId21" Type="http://schemas.openxmlformats.org/officeDocument/2006/relationships/theme" Target="theme/theme1.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microsoft.com/office/2017/06/relationships/rdRichValueTypes" Target="richData/rdRichValueTypes.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microsoft.com/office/2017/06/relationships/rdRichValueStructure" Target="richData/rdrichvaluestructure.xml"/><Relationship Id="rId36" Type="http://schemas.openxmlformats.org/officeDocument/2006/relationships/customXml" Target="../customXml/item5.xml"/><Relationship Id="rId49" Type="http://schemas.openxmlformats.org/officeDocument/2006/relationships/customXml" Target="../customXml/item18.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alcChain" Target="calcChain.xml"/><Relationship Id="rId44"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microsoft.com/office/2017/06/relationships/rdRichValue" Target="richData/rdrichvalue.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eetMetadata" Target="metadata.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microsoft.com/office/2007/relationships/slicerCache" Target="slicerCaches/slicerCache2.xml"/><Relationship Id="rId41"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[Hospital_Emergency_Dashboard.xlsx]Pivot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overflow" horzOverflow="overflow" vert="horz" wrap="none" rIns="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overflow" horzOverflow="overflow" vert="horz" wrap="none" rIns="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8693620028265698"/>
                  <c:h val="0.34591225083351068"/>
                </c:manualLayout>
              </c15:layout>
              <c15:showDataLabelsRange val="1"/>
            </c:ext>
          </c:extLst>
        </c:dLbl>
      </c:pivotFmt>
      <c:pivotFmt>
        <c:idx val="3"/>
        <c:spPr>
          <a:solidFill>
            <a:schemeClr val="accent1"/>
          </a:solidFill>
          <a:ln>
            <a:noFill/>
          </a:ln>
          <a:effectLst/>
        </c:spPr>
        <c:dLbl>
          <c:idx val="0"/>
          <c:spPr>
            <a:noFill/>
            <a:ln>
              <a:noFill/>
            </a:ln>
            <a:effectLst/>
          </c:spPr>
          <c:txPr>
            <a:bodyPr rot="0" spcFirstLastPara="1" vertOverflow="overflow" horzOverflow="overflow" vert="horz" wrap="none" rIns="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8693620028265698"/>
                  <c:h val="0.34591225083351068"/>
                </c:manualLayout>
              </c15:layout>
              <c15:showDataLabelsRange val="1"/>
            </c:ext>
          </c:extLst>
        </c:dLbl>
      </c:pivotFmt>
    </c:pivotFmts>
    <c:plotArea>
      <c:layout>
        <c:manualLayout>
          <c:layoutTarget val="inner"/>
          <c:xMode val="edge"/>
          <c:yMode val="edge"/>
          <c:x val="4.9319196111316413E-4"/>
          <c:y val="0.19290370465986834"/>
          <c:w val="0.65871221742443498"/>
          <c:h val="0.67751280065401676"/>
        </c:manualLayout>
      </c:layout>
      <c:barChart>
        <c:barDir val="bar"/>
        <c:grouping val="clustered"/>
        <c:varyColors val="0"/>
        <c:ser>
          <c:idx val="0"/>
          <c:order val="0"/>
          <c:tx>
            <c:strRef>
              <c:f>'Pivot Report'!$B$39</c:f>
              <c:strCache>
                <c:ptCount val="1"/>
                <c:pt idx="0">
                  <c:v>Count of Patient Admission Flag</c:v>
                </c:pt>
              </c:strCache>
            </c:strRef>
          </c:tx>
          <c:spPr>
            <a:solidFill>
              <a:schemeClr val="accent1"/>
            </a:solidFill>
            <a:ln>
              <a:noFill/>
            </a:ln>
            <a:effectLst/>
          </c:spPr>
          <c:invertIfNegative val="0"/>
          <c:dPt>
            <c:idx val="0"/>
            <c:invertIfNegative val="0"/>
            <c:bubble3D val="0"/>
          </c:dPt>
          <c:dPt>
            <c:idx val="1"/>
            <c:invertIfNegative val="0"/>
            <c:bubble3D val="0"/>
          </c:dPt>
          <c:dLbls>
            <c:dLbl>
              <c:idx val="0"/>
              <c:showLegendKey val="0"/>
              <c:showVal val="0"/>
              <c:showCatName val="0"/>
              <c:showSerName val="0"/>
              <c:showPercent val="0"/>
              <c:showBubbleSize val="0"/>
              <c:extLst>
                <c:ext xmlns:c15="http://schemas.microsoft.com/office/drawing/2012/chart" uri="{CE6537A1-D6FC-4f65-9D91-7224C49458BB}">
                  <c15:layout>
                    <c:manualLayout>
                      <c:w val="0.18693620028265698"/>
                      <c:h val="0.34591225083351068"/>
                    </c:manualLayout>
                  </c15:layout>
                  <c15:showDataLabelsRange val="1"/>
                </c:ext>
              </c:extLst>
            </c:dLbl>
            <c:dLbl>
              <c:idx val="1"/>
              <c:showLegendKey val="0"/>
              <c:showVal val="0"/>
              <c:showCatName val="0"/>
              <c:showSerName val="0"/>
              <c:showPercent val="0"/>
              <c:showBubbleSize val="0"/>
              <c:extLst>
                <c:ext xmlns:c15="http://schemas.microsoft.com/office/drawing/2012/chart" uri="{CE6537A1-D6FC-4f65-9D91-7224C49458BB}">
                  <c15:layout>
                    <c:manualLayout>
                      <c:w val="0.18693620028265698"/>
                      <c:h val="0.34591225083351068"/>
                    </c:manualLayout>
                  </c15:layout>
                  <c15:showDataLabelsRange val="1"/>
                </c:ext>
              </c:extLst>
            </c:dLbl>
            <c:spPr>
              <a:noFill/>
              <a:ln>
                <a:noFill/>
              </a:ln>
              <a:effectLst/>
            </c:spPr>
            <c:txPr>
              <a:bodyPr rot="0" spcFirstLastPara="1" vertOverflow="overflow" horzOverflow="overflow" vert="horz" wrap="none" rIns="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 Report'!$A$40:$A$42</c:f>
              <c:strCache>
                <c:ptCount val="2"/>
                <c:pt idx="0">
                  <c:v>Admitted</c:v>
                </c:pt>
                <c:pt idx="1">
                  <c:v>Not Admitted</c:v>
                </c:pt>
              </c:strCache>
            </c:strRef>
          </c:cat>
          <c:val>
            <c:numRef>
              <c:f>'Pivot Report'!$B$40:$B$42</c:f>
              <c:numCache>
                <c:formatCode>0</c:formatCode>
                <c:ptCount val="2"/>
                <c:pt idx="0">
                  <c:v>487</c:v>
                </c:pt>
                <c:pt idx="1">
                  <c:v>504</c:v>
                </c:pt>
              </c:numCache>
            </c:numRef>
          </c:val>
          <c:extLst>
            <c:ext xmlns:c16="http://schemas.microsoft.com/office/drawing/2014/chart" uri="{C3380CC4-5D6E-409C-BE32-E72D297353CC}">
              <c16:uniqueId val="{00000002-61C8-4936-A90E-B133528A48B8}"/>
            </c:ext>
          </c:extLst>
        </c:ser>
        <c:ser>
          <c:idx val="1"/>
          <c:order val="1"/>
          <c:tx>
            <c:strRef>
              <c:f>'Pivot Report'!$C$39</c:f>
              <c:strCache>
                <c:ptCount val="1"/>
                <c:pt idx="0">
                  <c:v>Count of Patient Admission Flag2</c:v>
                </c:pt>
              </c:strCache>
            </c:strRef>
          </c:tx>
          <c:spPr>
            <a:solidFill>
              <a:schemeClr val="accent2"/>
            </a:solidFill>
            <a:ln>
              <a:noFill/>
            </a:ln>
            <a:effectLst/>
          </c:spPr>
          <c:invertIfNegative val="0"/>
          <c:cat>
            <c:strRef>
              <c:f>'Pivot Report'!$A$40:$A$42</c:f>
              <c:strCache>
                <c:ptCount val="2"/>
                <c:pt idx="0">
                  <c:v>Admitted</c:v>
                </c:pt>
                <c:pt idx="1">
                  <c:v>Not Admitted</c:v>
                </c:pt>
              </c:strCache>
            </c:strRef>
          </c:cat>
          <c:val>
            <c:numRef>
              <c:f>'Pivot Report'!$C$40:$C$42</c:f>
              <c:numCache>
                <c:formatCode>0.00%</c:formatCode>
                <c:ptCount val="2"/>
                <c:pt idx="0">
                  <c:v>0.49142280524722504</c:v>
                </c:pt>
                <c:pt idx="1">
                  <c:v>0.50857719475277496</c:v>
                </c:pt>
              </c:numCache>
            </c:numRef>
          </c:val>
          <c:extLst>
            <c:ext xmlns:c16="http://schemas.microsoft.com/office/drawing/2014/chart" uri="{C3380CC4-5D6E-409C-BE32-E72D297353CC}">
              <c16:uniqueId val="{00000003-61C8-4936-A90E-B133528A48B8}"/>
            </c:ext>
          </c:extLst>
        </c:ser>
        <c:dLbls>
          <c:showLegendKey val="0"/>
          <c:showVal val="0"/>
          <c:showCatName val="0"/>
          <c:showSerName val="0"/>
          <c:showPercent val="0"/>
          <c:showBubbleSize val="0"/>
        </c:dLbls>
        <c:gapWidth val="0"/>
        <c:overlap val="30"/>
        <c:axId val="704333407"/>
        <c:axId val="1925543215"/>
      </c:barChart>
      <c:catAx>
        <c:axId val="704333407"/>
        <c:scaling>
          <c:orientation val="minMax"/>
        </c:scaling>
        <c:delete val="1"/>
        <c:axPos val="l"/>
        <c:numFmt formatCode="General" sourceLinked="1"/>
        <c:majorTickMark val="none"/>
        <c:minorTickMark val="none"/>
        <c:tickLblPos val="nextTo"/>
        <c:crossAx val="1925543215"/>
        <c:crosses val="autoZero"/>
        <c:auto val="1"/>
        <c:lblAlgn val="ctr"/>
        <c:lblOffset val="100"/>
        <c:noMultiLvlLbl val="0"/>
      </c:catAx>
      <c:valAx>
        <c:axId val="1925543215"/>
        <c:scaling>
          <c:orientation val="minMax"/>
        </c:scaling>
        <c:delete val="1"/>
        <c:axPos val="b"/>
        <c:numFmt formatCode="0" sourceLinked="1"/>
        <c:majorTickMark val="none"/>
        <c:minorTickMark val="none"/>
        <c:tickLblPos val="nextTo"/>
        <c:crossAx val="704333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5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[Hospital_Emergency_Dashboard.xlsx]Pivot Report!PivotTable4</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7940250003726774"/>
          <c:w val="0.96502629260201123"/>
          <c:h val="0.54772970425437495"/>
        </c:manualLayout>
      </c:layout>
      <c:areaChart>
        <c:grouping val="standard"/>
        <c:varyColors val="0"/>
        <c:ser>
          <c:idx val="0"/>
          <c:order val="0"/>
          <c:tx>
            <c:strRef>
              <c:f>'Pivot Report'!$E$4</c:f>
              <c:strCache>
                <c:ptCount val="1"/>
                <c:pt idx="0">
                  <c:v>Total</c:v>
                </c:pt>
              </c:strCache>
            </c:strRef>
          </c:tx>
          <c:spPr>
            <a:solidFill>
              <a:schemeClr val="accent1"/>
            </a:solidFill>
            <a:ln w="25400">
              <a:noFill/>
            </a:ln>
            <a:effectLst/>
          </c:spPr>
          <c:cat>
            <c:strRef>
              <c:f>'Pivot Report'!$D$5:$D$35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Report'!$E$5:$E$35</c:f>
              <c:numCache>
                <c:formatCode>General</c:formatCode>
                <c:ptCount val="30"/>
                <c:pt idx="0">
                  <c:v>43</c:v>
                </c:pt>
                <c:pt idx="1">
                  <c:v>27</c:v>
                </c:pt>
                <c:pt idx="2">
                  <c:v>42</c:v>
                </c:pt>
                <c:pt idx="3">
                  <c:v>32</c:v>
                </c:pt>
                <c:pt idx="4">
                  <c:v>32</c:v>
                </c:pt>
                <c:pt idx="5">
                  <c:v>28</c:v>
                </c:pt>
                <c:pt idx="6">
                  <c:v>32</c:v>
                </c:pt>
                <c:pt idx="7">
                  <c:v>39</c:v>
                </c:pt>
                <c:pt idx="8">
                  <c:v>40</c:v>
                </c:pt>
                <c:pt idx="9">
                  <c:v>31</c:v>
                </c:pt>
                <c:pt idx="10">
                  <c:v>34</c:v>
                </c:pt>
                <c:pt idx="11">
                  <c:v>37</c:v>
                </c:pt>
                <c:pt idx="12">
                  <c:v>30</c:v>
                </c:pt>
                <c:pt idx="13">
                  <c:v>25</c:v>
                </c:pt>
                <c:pt idx="14">
                  <c:v>38</c:v>
                </c:pt>
                <c:pt idx="15">
                  <c:v>27</c:v>
                </c:pt>
                <c:pt idx="16">
                  <c:v>37</c:v>
                </c:pt>
                <c:pt idx="17">
                  <c:v>33</c:v>
                </c:pt>
                <c:pt idx="18">
                  <c:v>23</c:v>
                </c:pt>
                <c:pt idx="19">
                  <c:v>27</c:v>
                </c:pt>
                <c:pt idx="20">
                  <c:v>29</c:v>
                </c:pt>
                <c:pt idx="21">
                  <c:v>38</c:v>
                </c:pt>
                <c:pt idx="22">
                  <c:v>28</c:v>
                </c:pt>
                <c:pt idx="23">
                  <c:v>36</c:v>
                </c:pt>
                <c:pt idx="24">
                  <c:v>31</c:v>
                </c:pt>
                <c:pt idx="25">
                  <c:v>34</c:v>
                </c:pt>
                <c:pt idx="26">
                  <c:v>39</c:v>
                </c:pt>
                <c:pt idx="27">
                  <c:v>40</c:v>
                </c:pt>
                <c:pt idx="28">
                  <c:v>31</c:v>
                </c:pt>
                <c:pt idx="29">
                  <c:v>28</c:v>
                </c:pt>
              </c:numCache>
            </c:numRef>
          </c:val>
          <c:extLst>
            <c:ext xmlns:c16="http://schemas.microsoft.com/office/drawing/2014/chart" uri="{C3380CC4-5D6E-409C-BE32-E72D297353CC}">
              <c16:uniqueId val="{00000000-6A92-495E-BAA4-E1B99F4796E3}"/>
            </c:ext>
          </c:extLst>
        </c:ser>
        <c:dLbls>
          <c:showLegendKey val="0"/>
          <c:showVal val="0"/>
          <c:showCatName val="0"/>
          <c:showSerName val="0"/>
          <c:showPercent val="0"/>
          <c:showBubbleSize val="0"/>
        </c:dLbls>
        <c:axId val="704345471"/>
        <c:axId val="1925555215"/>
      </c:areaChart>
      <c:catAx>
        <c:axId val="704345471"/>
        <c:scaling>
          <c:orientation val="minMax"/>
        </c:scaling>
        <c:delete val="1"/>
        <c:axPos val="b"/>
        <c:numFmt formatCode="General" sourceLinked="1"/>
        <c:majorTickMark val="out"/>
        <c:minorTickMark val="none"/>
        <c:tickLblPos val="nextTo"/>
        <c:crossAx val="1925555215"/>
        <c:crosses val="autoZero"/>
        <c:auto val="1"/>
        <c:lblAlgn val="ctr"/>
        <c:lblOffset val="100"/>
        <c:noMultiLvlLbl val="0"/>
      </c:catAx>
      <c:valAx>
        <c:axId val="1925555215"/>
        <c:scaling>
          <c:orientation val="minMax"/>
        </c:scaling>
        <c:delete val="1"/>
        <c:axPos val="l"/>
        <c:numFmt formatCode="General" sourceLinked="1"/>
        <c:majorTickMark val="none"/>
        <c:minorTickMark val="none"/>
        <c:tickLblPos val="nextTo"/>
        <c:crossAx val="7043454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[Hospital_Emergency_Dashboard.xlsx]Pivot Report!PivotTable5</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796168175730362E-3"/>
          <c:y val="0.2092162764272012"/>
          <c:w val="0.93888888888888888"/>
          <c:h val="0.78846153846153844"/>
        </c:manualLayout>
      </c:layout>
      <c:areaChart>
        <c:grouping val="standard"/>
        <c:varyColors val="0"/>
        <c:ser>
          <c:idx val="0"/>
          <c:order val="0"/>
          <c:tx>
            <c:strRef>
              <c:f>'Pivot Report'!$H$4</c:f>
              <c:strCache>
                <c:ptCount val="1"/>
                <c:pt idx="0">
                  <c:v>Total</c:v>
                </c:pt>
              </c:strCache>
            </c:strRef>
          </c:tx>
          <c:spPr>
            <a:solidFill>
              <a:schemeClr val="accent1"/>
            </a:solidFill>
            <a:ln w="25400">
              <a:noFill/>
            </a:ln>
            <a:effectLst/>
          </c:spPr>
          <c:cat>
            <c:strRef>
              <c:f>'Pivot Report'!$G$5:$G$35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Report'!$H$5:$H$35</c:f>
              <c:numCache>
                <c:formatCode>0.00</c:formatCode>
                <c:ptCount val="30"/>
                <c:pt idx="0">
                  <c:v>34.279069767441861</c:v>
                </c:pt>
                <c:pt idx="1">
                  <c:v>36.222222222222221</c:v>
                </c:pt>
                <c:pt idx="2">
                  <c:v>35.904761904761905</c:v>
                </c:pt>
                <c:pt idx="3">
                  <c:v>32.53125</c:v>
                </c:pt>
                <c:pt idx="4">
                  <c:v>33.84375</c:v>
                </c:pt>
                <c:pt idx="5">
                  <c:v>35.214285714285715</c:v>
                </c:pt>
                <c:pt idx="6">
                  <c:v>37.21875</c:v>
                </c:pt>
                <c:pt idx="7">
                  <c:v>36.871794871794869</c:v>
                </c:pt>
                <c:pt idx="8">
                  <c:v>36.450000000000003</c:v>
                </c:pt>
                <c:pt idx="9">
                  <c:v>32.935483870967744</c:v>
                </c:pt>
                <c:pt idx="10">
                  <c:v>41.323529411764703</c:v>
                </c:pt>
                <c:pt idx="11">
                  <c:v>34.432432432432435</c:v>
                </c:pt>
                <c:pt idx="12">
                  <c:v>36.966666666666669</c:v>
                </c:pt>
                <c:pt idx="13">
                  <c:v>39.520000000000003</c:v>
                </c:pt>
                <c:pt idx="14">
                  <c:v>36.026315789473685</c:v>
                </c:pt>
                <c:pt idx="15">
                  <c:v>32.370370370370374</c:v>
                </c:pt>
                <c:pt idx="16">
                  <c:v>33.243243243243242</c:v>
                </c:pt>
                <c:pt idx="17">
                  <c:v>33.575757575757578</c:v>
                </c:pt>
                <c:pt idx="18">
                  <c:v>31.130434782608695</c:v>
                </c:pt>
                <c:pt idx="19">
                  <c:v>36.888888888888886</c:v>
                </c:pt>
                <c:pt idx="20">
                  <c:v>29.862068965517242</c:v>
                </c:pt>
                <c:pt idx="21">
                  <c:v>36.526315789473685</c:v>
                </c:pt>
                <c:pt idx="22">
                  <c:v>34.571428571428569</c:v>
                </c:pt>
                <c:pt idx="23">
                  <c:v>38.5</c:v>
                </c:pt>
                <c:pt idx="24">
                  <c:v>37.12903225806452</c:v>
                </c:pt>
                <c:pt idx="25">
                  <c:v>33.852941176470587</c:v>
                </c:pt>
                <c:pt idx="26">
                  <c:v>37.230769230769234</c:v>
                </c:pt>
                <c:pt idx="27">
                  <c:v>36.075000000000003</c:v>
                </c:pt>
                <c:pt idx="28">
                  <c:v>34.354838709677416</c:v>
                </c:pt>
                <c:pt idx="29">
                  <c:v>39.571428571428569</c:v>
                </c:pt>
              </c:numCache>
            </c:numRef>
          </c:val>
          <c:extLst>
            <c:ext xmlns:c16="http://schemas.microsoft.com/office/drawing/2014/chart" uri="{C3380CC4-5D6E-409C-BE32-E72D297353CC}">
              <c16:uniqueId val="{00000000-F112-4B0B-8F92-7306F7A5AB59}"/>
            </c:ext>
          </c:extLst>
        </c:ser>
        <c:dLbls>
          <c:showLegendKey val="0"/>
          <c:showVal val="0"/>
          <c:showCatName val="0"/>
          <c:showSerName val="0"/>
          <c:showPercent val="0"/>
          <c:showBubbleSize val="0"/>
        </c:dLbls>
        <c:axId val="774392303"/>
        <c:axId val="1925567695"/>
      </c:areaChart>
      <c:catAx>
        <c:axId val="774392303"/>
        <c:scaling>
          <c:orientation val="minMax"/>
        </c:scaling>
        <c:delete val="1"/>
        <c:axPos val="b"/>
        <c:numFmt formatCode="General" sourceLinked="1"/>
        <c:majorTickMark val="out"/>
        <c:minorTickMark val="none"/>
        <c:tickLblPos val="nextTo"/>
        <c:crossAx val="1925567695"/>
        <c:crosses val="autoZero"/>
        <c:auto val="1"/>
        <c:lblAlgn val="ctr"/>
        <c:lblOffset val="100"/>
        <c:noMultiLvlLbl val="0"/>
      </c:catAx>
      <c:valAx>
        <c:axId val="1925567695"/>
        <c:scaling>
          <c:orientation val="minMax"/>
        </c:scaling>
        <c:delete val="1"/>
        <c:axPos val="l"/>
        <c:numFmt formatCode="0.00" sourceLinked="1"/>
        <c:majorTickMark val="none"/>
        <c:minorTickMark val="none"/>
        <c:tickLblPos val="nextTo"/>
        <c:crossAx val="774392303"/>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[Hospital_Emergency_Dashboard.xlsx]Pivot Report!PivotTable6</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7610387919975E-2"/>
          <c:y val="5.0925707203063657E-2"/>
          <c:w val="0.93888888888888888"/>
          <c:h val="0.89814814814814814"/>
        </c:manualLayout>
      </c:layout>
      <c:areaChart>
        <c:grouping val="standard"/>
        <c:varyColors val="0"/>
        <c:ser>
          <c:idx val="0"/>
          <c:order val="0"/>
          <c:tx>
            <c:strRef>
              <c:f>'Pivot Report'!$K$4</c:f>
              <c:strCache>
                <c:ptCount val="1"/>
                <c:pt idx="0">
                  <c:v>Total</c:v>
                </c:pt>
              </c:strCache>
            </c:strRef>
          </c:tx>
          <c:spPr>
            <a:solidFill>
              <a:schemeClr val="accent1"/>
            </a:solidFill>
            <a:ln w="25400">
              <a:noFill/>
            </a:ln>
            <a:effectLst/>
          </c:spPr>
          <c:cat>
            <c:strRef>
              <c:f>'Pivot Report'!$J$5:$J$35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Report'!$K$5:$K$35</c:f>
              <c:numCache>
                <c:formatCode>0.00</c:formatCode>
                <c:ptCount val="30"/>
                <c:pt idx="0">
                  <c:v>4.7777777777777777</c:v>
                </c:pt>
                <c:pt idx="1">
                  <c:v>5.2727272727272725</c:v>
                </c:pt>
                <c:pt idx="2">
                  <c:v>4.2727272727272725</c:v>
                </c:pt>
                <c:pt idx="3">
                  <c:v>5</c:v>
                </c:pt>
                <c:pt idx="4">
                  <c:v>4.3571428571428568</c:v>
                </c:pt>
                <c:pt idx="5">
                  <c:v>4.8571428571428568</c:v>
                </c:pt>
                <c:pt idx="6">
                  <c:v>5.125</c:v>
                </c:pt>
                <c:pt idx="7">
                  <c:v>5</c:v>
                </c:pt>
                <c:pt idx="8">
                  <c:v>5.2222222222222223</c:v>
                </c:pt>
                <c:pt idx="9">
                  <c:v>4.2222222222222223</c:v>
                </c:pt>
                <c:pt idx="10">
                  <c:v>4.8571428571428568</c:v>
                </c:pt>
                <c:pt idx="11">
                  <c:v>3.8888888888888888</c:v>
                </c:pt>
                <c:pt idx="12">
                  <c:v>4</c:v>
                </c:pt>
                <c:pt idx="13">
                  <c:v>5</c:v>
                </c:pt>
                <c:pt idx="14">
                  <c:v>5.7777777777777777</c:v>
                </c:pt>
                <c:pt idx="15">
                  <c:v>2.6</c:v>
                </c:pt>
                <c:pt idx="16">
                  <c:v>6.5</c:v>
                </c:pt>
                <c:pt idx="17">
                  <c:v>3.8181818181818183</c:v>
                </c:pt>
                <c:pt idx="18">
                  <c:v>4.4000000000000004</c:v>
                </c:pt>
                <c:pt idx="19">
                  <c:v>4.5</c:v>
                </c:pt>
                <c:pt idx="20">
                  <c:v>4.625</c:v>
                </c:pt>
                <c:pt idx="21">
                  <c:v>4.5</c:v>
                </c:pt>
                <c:pt idx="22">
                  <c:v>5.833333333333333</c:v>
                </c:pt>
                <c:pt idx="23">
                  <c:v>4.666666666666667</c:v>
                </c:pt>
                <c:pt idx="24">
                  <c:v>4.666666666666667</c:v>
                </c:pt>
                <c:pt idx="25">
                  <c:v>6.75</c:v>
                </c:pt>
                <c:pt idx="26">
                  <c:v>5.7</c:v>
                </c:pt>
                <c:pt idx="27">
                  <c:v>5.5</c:v>
                </c:pt>
                <c:pt idx="28">
                  <c:v>6.2222222222222223</c:v>
                </c:pt>
                <c:pt idx="29">
                  <c:v>5.833333333333333</c:v>
                </c:pt>
              </c:numCache>
            </c:numRef>
          </c:val>
          <c:extLst>
            <c:ext xmlns:c16="http://schemas.microsoft.com/office/drawing/2014/chart" uri="{C3380CC4-5D6E-409C-BE32-E72D297353CC}">
              <c16:uniqueId val="{00000000-9C91-4E5A-862F-DC905DB49498}"/>
            </c:ext>
          </c:extLst>
        </c:ser>
        <c:dLbls>
          <c:showLegendKey val="0"/>
          <c:showVal val="0"/>
          <c:showCatName val="0"/>
          <c:showSerName val="0"/>
          <c:showPercent val="0"/>
          <c:showBubbleSize val="0"/>
        </c:dLbls>
        <c:axId val="774384879"/>
        <c:axId val="1925545615"/>
      </c:areaChart>
      <c:catAx>
        <c:axId val="774384879"/>
        <c:scaling>
          <c:orientation val="minMax"/>
        </c:scaling>
        <c:delete val="1"/>
        <c:axPos val="b"/>
        <c:numFmt formatCode="General" sourceLinked="1"/>
        <c:majorTickMark val="out"/>
        <c:minorTickMark val="none"/>
        <c:tickLblPos val="nextTo"/>
        <c:crossAx val="1925545615"/>
        <c:crosses val="autoZero"/>
        <c:auto val="1"/>
        <c:lblAlgn val="ctr"/>
        <c:lblOffset val="100"/>
        <c:noMultiLvlLbl val="0"/>
      </c:catAx>
      <c:valAx>
        <c:axId val="1925545615"/>
        <c:scaling>
          <c:orientation val="minMax"/>
        </c:scaling>
        <c:delete val="1"/>
        <c:axPos val="l"/>
        <c:numFmt formatCode="0.00" sourceLinked="1"/>
        <c:majorTickMark val="none"/>
        <c:minorTickMark val="none"/>
        <c:tickLblPos val="nextTo"/>
        <c:crossAx val="77438487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[Hospital_Emergency_Dashboard.xlsx]Pivot Report!PivotTable8</c:name>
    <c:fmtId val="8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131734339939113E-2"/>
          <c:y val="0.17586200593457346"/>
          <c:w val="0.95103856422780075"/>
          <c:h val="0.70456052379067258"/>
        </c:manualLayout>
      </c:layout>
      <c:barChart>
        <c:barDir val="col"/>
        <c:grouping val="clustered"/>
        <c:varyColors val="0"/>
        <c:ser>
          <c:idx val="0"/>
          <c:order val="0"/>
          <c:tx>
            <c:strRef>
              <c:f>'Pivot Report'!$B$50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Report'!$A$51:$A$59</c:f>
              <c:strCache>
                <c:ptCount val="8"/>
                <c:pt idx="0">
                  <c:v>0-9</c:v>
                </c:pt>
                <c:pt idx="1">
                  <c:v>10-09</c:v>
                </c:pt>
                <c:pt idx="2">
                  <c:v>20-19</c:v>
                </c:pt>
                <c:pt idx="3">
                  <c:v>30-39</c:v>
                </c:pt>
                <c:pt idx="4">
                  <c:v>40-49</c:v>
                </c:pt>
                <c:pt idx="5">
                  <c:v>50-59</c:v>
                </c:pt>
                <c:pt idx="6">
                  <c:v>60-69</c:v>
                </c:pt>
                <c:pt idx="7">
                  <c:v>70-79</c:v>
                </c:pt>
              </c:strCache>
            </c:strRef>
          </c:cat>
          <c:val>
            <c:numRef>
              <c:f>'Pivot Report'!$B$51:$B$59</c:f>
              <c:numCache>
                <c:formatCode>0.00</c:formatCode>
                <c:ptCount val="8"/>
                <c:pt idx="0">
                  <c:v>113</c:v>
                </c:pt>
                <c:pt idx="1">
                  <c:v>127</c:v>
                </c:pt>
                <c:pt idx="2">
                  <c:v>144</c:v>
                </c:pt>
                <c:pt idx="3">
                  <c:v>126</c:v>
                </c:pt>
                <c:pt idx="4">
                  <c:v>119</c:v>
                </c:pt>
                <c:pt idx="5">
                  <c:v>109</c:v>
                </c:pt>
                <c:pt idx="6">
                  <c:v>125</c:v>
                </c:pt>
                <c:pt idx="7">
                  <c:v>128</c:v>
                </c:pt>
              </c:numCache>
            </c:numRef>
          </c:val>
          <c:extLst>
            <c:ext xmlns:c16="http://schemas.microsoft.com/office/drawing/2014/chart" uri="{C3380CC4-5D6E-409C-BE32-E72D297353CC}">
              <c16:uniqueId val="{00000000-86CB-46C5-A03E-36F8CF7DBE27}"/>
            </c:ext>
          </c:extLst>
        </c:ser>
        <c:dLbls>
          <c:showLegendKey val="0"/>
          <c:showVal val="0"/>
          <c:showCatName val="0"/>
          <c:showSerName val="0"/>
          <c:showPercent val="0"/>
          <c:showBubbleSize val="0"/>
        </c:dLbls>
        <c:gapWidth val="219"/>
        <c:overlap val="-27"/>
        <c:axId val="704356143"/>
        <c:axId val="1925461615"/>
      </c:barChart>
      <c:catAx>
        <c:axId val="704356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461615"/>
        <c:crosses val="autoZero"/>
        <c:auto val="1"/>
        <c:lblAlgn val="ctr"/>
        <c:lblOffset val="100"/>
        <c:noMultiLvlLbl val="0"/>
      </c:catAx>
      <c:valAx>
        <c:axId val="1925461615"/>
        <c:scaling>
          <c:orientation val="minMax"/>
        </c:scaling>
        <c:delete val="1"/>
        <c:axPos val="l"/>
        <c:numFmt formatCode="0.00" sourceLinked="1"/>
        <c:majorTickMark val="none"/>
        <c:minorTickMark val="none"/>
        <c:tickLblPos val="nextTo"/>
        <c:crossAx val="70435614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[Hospital_Emergency_Dashboard.xlsx]Pivot Report!PivotTable9</c:name>
    <c:fmtId val="9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2890317932616008"/>
              <c:y val="-0.1003340983132484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9.2244672834584499E-2"/>
                  <c:h val="0.11424912357453415"/>
                </c:manualLayout>
              </c15:layout>
            </c:ext>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5072243640421873"/>
              <c:y val="8.4947197318739204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9.9370564903691047E-2"/>
                  <c:h val="0.12097557978609867"/>
                </c:manualLayout>
              </c15:layout>
            </c:ext>
          </c:extLst>
        </c:dLbl>
      </c:pivotFmt>
    </c:pivotFmts>
    <c:plotArea>
      <c:layout>
        <c:manualLayout>
          <c:layoutTarget val="inner"/>
          <c:xMode val="edge"/>
          <c:yMode val="edge"/>
          <c:x val="0.24127961944369788"/>
          <c:y val="0.10762329938503241"/>
          <c:w val="0.43705480708751326"/>
          <c:h val="0.8251121384993223"/>
        </c:manualLayout>
      </c:layout>
      <c:pieChart>
        <c:varyColors val="1"/>
        <c:ser>
          <c:idx val="0"/>
          <c:order val="0"/>
          <c:tx>
            <c:strRef>
              <c:f>'Pivot Report'!$B$63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dLbl>
              <c:idx val="0"/>
              <c:layout>
                <c:manualLayout>
                  <c:x val="-0.12890317932616008"/>
                  <c:y val="-0.1003340983132484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9.2244672834584499E-2"/>
                      <c:h val="0.11424912357453415"/>
                    </c:manualLayout>
                  </c15:layout>
                </c:ext>
              </c:extLst>
            </c:dLbl>
            <c:dLbl>
              <c:idx val="1"/>
              <c:layout>
                <c:manualLayout>
                  <c:x val="0.15072243640421873"/>
                  <c:y val="8.4947197318739204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9.9370564903691047E-2"/>
                      <c:h val="0.12097557978609867"/>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Report'!$A$64:$A$66</c:f>
              <c:strCache>
                <c:ptCount val="2"/>
                <c:pt idx="0">
                  <c:v>Delay</c:v>
                </c:pt>
                <c:pt idx="1">
                  <c:v>Ontime</c:v>
                </c:pt>
              </c:strCache>
            </c:strRef>
          </c:cat>
          <c:val>
            <c:numRef>
              <c:f>'Pivot Report'!$B$64:$B$66</c:f>
              <c:numCache>
                <c:formatCode>0</c:formatCode>
                <c:ptCount val="2"/>
                <c:pt idx="0">
                  <c:v>608</c:v>
                </c:pt>
                <c:pt idx="1">
                  <c:v>383</c:v>
                </c:pt>
              </c:numCache>
            </c:numRef>
          </c:val>
          <c:extLst>
            <c:ext xmlns:c16="http://schemas.microsoft.com/office/drawing/2014/chart" uri="{C3380CC4-5D6E-409C-BE32-E72D297353CC}">
              <c16:uniqueId val="{00000004-3AD6-48F0-9440-31C87D0A473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3101541717609311"/>
          <c:y val="9.8937166954353797E-4"/>
          <c:w val="0.15164487471615665"/>
          <c:h val="0.227019486066966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[Hospital_Emergency_Dashboard.xlsx]Pivot Report!PivotTable10</c:name>
    <c:fmtId val="9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9.7436179012409085E-2"/>
          <c:y val="0.18262501798584679"/>
          <c:w val="0.61661624927810565"/>
          <c:h val="0.60054838558269907"/>
        </c:manualLayout>
      </c:layout>
      <c:doughnutChart>
        <c:varyColors val="1"/>
        <c:ser>
          <c:idx val="0"/>
          <c:order val="0"/>
          <c:tx>
            <c:strRef>
              <c:f>'Pivot Report'!$B$69</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Report'!$A$70:$A$72</c:f>
              <c:strCache>
                <c:ptCount val="2"/>
                <c:pt idx="0">
                  <c:v>Female</c:v>
                </c:pt>
                <c:pt idx="1">
                  <c:v>Male</c:v>
                </c:pt>
              </c:strCache>
            </c:strRef>
          </c:cat>
          <c:val>
            <c:numRef>
              <c:f>'Pivot Report'!$B$70:$B$72</c:f>
              <c:numCache>
                <c:formatCode>0</c:formatCode>
                <c:ptCount val="2"/>
                <c:pt idx="0">
                  <c:v>472</c:v>
                </c:pt>
                <c:pt idx="1">
                  <c:v>519</c:v>
                </c:pt>
              </c:numCache>
            </c:numRef>
          </c:val>
          <c:extLst>
            <c:ext xmlns:c16="http://schemas.microsoft.com/office/drawing/2014/chart" uri="{C3380CC4-5D6E-409C-BE32-E72D297353CC}">
              <c16:uniqueId val="{00000004-AE9A-4A74-A018-CDECB0D412A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111541855649578"/>
          <c:y val="0.10973059317515022"/>
          <c:w val="0.21359499813156765"/>
          <c:h val="0.164903476596854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[Hospital_Emergency_Dashboard.xlsx]Pivot Report!PivotTable11</c:name>
    <c:fmtId val="10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1853740271872"/>
          <c:y val="4.4241927361698574E-2"/>
          <c:w val="0.73718175853018375"/>
          <c:h val="0.84204505686789155"/>
        </c:manualLayout>
      </c:layout>
      <c:barChart>
        <c:barDir val="bar"/>
        <c:grouping val="clustered"/>
        <c:varyColors val="0"/>
        <c:ser>
          <c:idx val="0"/>
          <c:order val="0"/>
          <c:tx>
            <c:strRef>
              <c:f>'Pivot Report'!$B$76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Report'!$A$77:$A$85</c:f>
              <c:strCache>
                <c:ptCount val="8"/>
                <c:pt idx="0">
                  <c:v>Renal</c:v>
                </c:pt>
                <c:pt idx="1">
                  <c:v>Gastroenterology</c:v>
                </c:pt>
                <c:pt idx="2">
                  <c:v>Cardiology</c:v>
                </c:pt>
                <c:pt idx="3">
                  <c:v>Neurology</c:v>
                </c:pt>
                <c:pt idx="4">
                  <c:v>Physiotherapy</c:v>
                </c:pt>
                <c:pt idx="5">
                  <c:v>Orthopedics</c:v>
                </c:pt>
                <c:pt idx="6">
                  <c:v>General Practice</c:v>
                </c:pt>
                <c:pt idx="7">
                  <c:v>None</c:v>
                </c:pt>
              </c:strCache>
            </c:strRef>
          </c:cat>
          <c:val>
            <c:numRef>
              <c:f>'Pivot Report'!$B$77:$B$85</c:f>
              <c:numCache>
                <c:formatCode>0</c:formatCode>
                <c:ptCount val="8"/>
                <c:pt idx="0">
                  <c:v>4</c:v>
                </c:pt>
                <c:pt idx="1">
                  <c:v>23</c:v>
                </c:pt>
                <c:pt idx="2">
                  <c:v>25</c:v>
                </c:pt>
                <c:pt idx="3">
                  <c:v>27</c:v>
                </c:pt>
                <c:pt idx="4">
                  <c:v>29</c:v>
                </c:pt>
                <c:pt idx="5">
                  <c:v>113</c:v>
                </c:pt>
                <c:pt idx="6">
                  <c:v>174</c:v>
                </c:pt>
                <c:pt idx="7">
                  <c:v>596</c:v>
                </c:pt>
              </c:numCache>
            </c:numRef>
          </c:val>
          <c:extLst>
            <c:ext xmlns:c16="http://schemas.microsoft.com/office/drawing/2014/chart" uri="{C3380CC4-5D6E-409C-BE32-E72D297353CC}">
              <c16:uniqueId val="{00000000-FCE9-4DE4-A5EE-45A58FF0F7B6}"/>
            </c:ext>
          </c:extLst>
        </c:ser>
        <c:dLbls>
          <c:showLegendKey val="0"/>
          <c:showVal val="0"/>
          <c:showCatName val="0"/>
          <c:showSerName val="0"/>
          <c:showPercent val="0"/>
          <c:showBubbleSize val="0"/>
        </c:dLbls>
        <c:gapWidth val="56"/>
        <c:axId val="774412719"/>
        <c:axId val="1925464015"/>
      </c:barChart>
      <c:catAx>
        <c:axId val="774412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464015"/>
        <c:crosses val="autoZero"/>
        <c:auto val="1"/>
        <c:lblAlgn val="ctr"/>
        <c:lblOffset val="100"/>
        <c:noMultiLvlLbl val="0"/>
      </c:catAx>
      <c:valAx>
        <c:axId val="192546401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412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[Hospital_Emergency_Dashboard.xlsx]Pivot Report!PivotTable4</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057060310581439E-2"/>
          <c:y val="4.6511627906976744E-2"/>
          <c:w val="0.96027446731672084"/>
          <c:h val="0.86300372337178788"/>
        </c:manualLayout>
      </c:layout>
      <c:areaChart>
        <c:grouping val="standard"/>
        <c:varyColors val="0"/>
        <c:ser>
          <c:idx val="0"/>
          <c:order val="0"/>
          <c:tx>
            <c:strRef>
              <c:f>'Pivot Report'!$E$4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Report'!$D$5:$D$35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Report'!$E$5:$E$35</c:f>
              <c:numCache>
                <c:formatCode>General</c:formatCode>
                <c:ptCount val="30"/>
                <c:pt idx="0">
                  <c:v>43</c:v>
                </c:pt>
                <c:pt idx="1">
                  <c:v>27</c:v>
                </c:pt>
                <c:pt idx="2">
                  <c:v>42</c:v>
                </c:pt>
                <c:pt idx="3">
                  <c:v>32</c:v>
                </c:pt>
                <c:pt idx="4">
                  <c:v>32</c:v>
                </c:pt>
                <c:pt idx="5">
                  <c:v>28</c:v>
                </c:pt>
                <c:pt idx="6">
                  <c:v>32</c:v>
                </c:pt>
                <c:pt idx="7">
                  <c:v>39</c:v>
                </c:pt>
                <c:pt idx="8">
                  <c:v>40</c:v>
                </c:pt>
                <c:pt idx="9">
                  <c:v>31</c:v>
                </c:pt>
                <c:pt idx="10">
                  <c:v>34</c:v>
                </c:pt>
                <c:pt idx="11">
                  <c:v>37</c:v>
                </c:pt>
                <c:pt idx="12">
                  <c:v>30</c:v>
                </c:pt>
                <c:pt idx="13">
                  <c:v>25</c:v>
                </c:pt>
                <c:pt idx="14">
                  <c:v>38</c:v>
                </c:pt>
                <c:pt idx="15">
                  <c:v>27</c:v>
                </c:pt>
                <c:pt idx="16">
                  <c:v>37</c:v>
                </c:pt>
                <c:pt idx="17">
                  <c:v>33</c:v>
                </c:pt>
                <c:pt idx="18">
                  <c:v>23</c:v>
                </c:pt>
                <c:pt idx="19">
                  <c:v>27</c:v>
                </c:pt>
                <c:pt idx="20">
                  <c:v>29</c:v>
                </c:pt>
                <c:pt idx="21">
                  <c:v>38</c:v>
                </c:pt>
                <c:pt idx="22">
                  <c:v>28</c:v>
                </c:pt>
                <c:pt idx="23">
                  <c:v>36</c:v>
                </c:pt>
                <c:pt idx="24">
                  <c:v>31</c:v>
                </c:pt>
                <c:pt idx="25">
                  <c:v>34</c:v>
                </c:pt>
                <c:pt idx="26">
                  <c:v>39</c:v>
                </c:pt>
                <c:pt idx="27">
                  <c:v>40</c:v>
                </c:pt>
                <c:pt idx="28">
                  <c:v>31</c:v>
                </c:pt>
                <c:pt idx="29">
                  <c:v>28</c:v>
                </c:pt>
              </c:numCache>
            </c:numRef>
          </c:val>
          <c:extLst>
            <c:ext xmlns:c16="http://schemas.microsoft.com/office/drawing/2014/chart" uri="{C3380CC4-5D6E-409C-BE32-E72D297353CC}">
              <c16:uniqueId val="{00000000-0895-4945-9F64-604EE4DB8782}"/>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04345471"/>
        <c:axId val="1925555215"/>
      </c:areaChart>
      <c:catAx>
        <c:axId val="70434547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25555215"/>
        <c:crosses val="autoZero"/>
        <c:auto val="1"/>
        <c:lblAlgn val="ctr"/>
        <c:lblOffset val="100"/>
        <c:noMultiLvlLbl val="0"/>
      </c:catAx>
      <c:valAx>
        <c:axId val="1925555215"/>
        <c:scaling>
          <c:orientation val="minMax"/>
        </c:scaling>
        <c:delete val="1"/>
        <c:axPos val="l"/>
        <c:numFmt formatCode="General" sourceLinked="1"/>
        <c:majorTickMark val="out"/>
        <c:minorTickMark val="none"/>
        <c:tickLblPos val="nextTo"/>
        <c:crossAx val="7043454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[Hospital_Emergency_Dashboard.xlsx]Pivot Report!PivotTable5</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Report'!$H$4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Report'!$G$5:$G$35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Report'!$H$5:$H$35</c:f>
              <c:numCache>
                <c:formatCode>0.00</c:formatCode>
                <c:ptCount val="30"/>
                <c:pt idx="0">
                  <c:v>34.279069767441861</c:v>
                </c:pt>
                <c:pt idx="1">
                  <c:v>36.222222222222221</c:v>
                </c:pt>
                <c:pt idx="2">
                  <c:v>35.904761904761905</c:v>
                </c:pt>
                <c:pt idx="3">
                  <c:v>32.53125</c:v>
                </c:pt>
                <c:pt idx="4">
                  <c:v>33.84375</c:v>
                </c:pt>
                <c:pt idx="5">
                  <c:v>35.214285714285715</c:v>
                </c:pt>
                <c:pt idx="6">
                  <c:v>37.21875</c:v>
                </c:pt>
                <c:pt idx="7">
                  <c:v>36.871794871794869</c:v>
                </c:pt>
                <c:pt idx="8">
                  <c:v>36.450000000000003</c:v>
                </c:pt>
                <c:pt idx="9">
                  <c:v>32.935483870967744</c:v>
                </c:pt>
                <c:pt idx="10">
                  <c:v>41.323529411764703</c:v>
                </c:pt>
                <c:pt idx="11">
                  <c:v>34.432432432432435</c:v>
                </c:pt>
                <c:pt idx="12">
                  <c:v>36.966666666666669</c:v>
                </c:pt>
                <c:pt idx="13">
                  <c:v>39.520000000000003</c:v>
                </c:pt>
                <c:pt idx="14">
                  <c:v>36.026315789473685</c:v>
                </c:pt>
                <c:pt idx="15">
                  <c:v>32.370370370370374</c:v>
                </c:pt>
                <c:pt idx="16">
                  <c:v>33.243243243243242</c:v>
                </c:pt>
                <c:pt idx="17">
                  <c:v>33.575757575757578</c:v>
                </c:pt>
                <c:pt idx="18">
                  <c:v>31.130434782608695</c:v>
                </c:pt>
                <c:pt idx="19">
                  <c:v>36.888888888888886</c:v>
                </c:pt>
                <c:pt idx="20">
                  <c:v>29.862068965517242</c:v>
                </c:pt>
                <c:pt idx="21">
                  <c:v>36.526315789473685</c:v>
                </c:pt>
                <c:pt idx="22">
                  <c:v>34.571428571428569</c:v>
                </c:pt>
                <c:pt idx="23">
                  <c:v>38.5</c:v>
                </c:pt>
                <c:pt idx="24">
                  <c:v>37.12903225806452</c:v>
                </c:pt>
                <c:pt idx="25">
                  <c:v>33.852941176470587</c:v>
                </c:pt>
                <c:pt idx="26">
                  <c:v>37.230769230769234</c:v>
                </c:pt>
                <c:pt idx="27">
                  <c:v>36.075000000000003</c:v>
                </c:pt>
                <c:pt idx="28">
                  <c:v>34.354838709677416</c:v>
                </c:pt>
                <c:pt idx="29">
                  <c:v>39.571428571428569</c:v>
                </c:pt>
              </c:numCache>
            </c:numRef>
          </c:val>
          <c:extLst>
            <c:ext xmlns:c16="http://schemas.microsoft.com/office/drawing/2014/chart" uri="{C3380CC4-5D6E-409C-BE32-E72D297353CC}">
              <c16:uniqueId val="{00000000-5EE6-44C9-8DF5-29165803128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74392303"/>
        <c:axId val="1925567695"/>
      </c:areaChart>
      <c:catAx>
        <c:axId val="77439230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25567695"/>
        <c:crosses val="autoZero"/>
        <c:auto val="1"/>
        <c:lblAlgn val="ctr"/>
        <c:lblOffset val="100"/>
        <c:noMultiLvlLbl val="0"/>
      </c:catAx>
      <c:valAx>
        <c:axId val="1925567695"/>
        <c:scaling>
          <c:orientation val="minMax"/>
        </c:scaling>
        <c:delete val="1"/>
        <c:axPos val="l"/>
        <c:numFmt formatCode="0.00" sourceLinked="1"/>
        <c:majorTickMark val="out"/>
        <c:minorTickMark val="none"/>
        <c:tickLblPos val="nextTo"/>
        <c:crossAx val="77439230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[Hospital_Emergency_Dashboard.xlsx]Pivot Report!PivotTable6</c:name>
    <c:fmtId val="3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Report'!$K$4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Report'!$J$5:$J$35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Report'!$K$5:$K$35</c:f>
              <c:numCache>
                <c:formatCode>0.00</c:formatCode>
                <c:ptCount val="30"/>
                <c:pt idx="0">
                  <c:v>4.7777777777777777</c:v>
                </c:pt>
                <c:pt idx="1">
                  <c:v>5.2727272727272725</c:v>
                </c:pt>
                <c:pt idx="2">
                  <c:v>4.2727272727272725</c:v>
                </c:pt>
                <c:pt idx="3">
                  <c:v>5</c:v>
                </c:pt>
                <c:pt idx="4">
                  <c:v>4.3571428571428568</c:v>
                </c:pt>
                <c:pt idx="5">
                  <c:v>4.8571428571428568</c:v>
                </c:pt>
                <c:pt idx="6">
                  <c:v>5.125</c:v>
                </c:pt>
                <c:pt idx="7">
                  <c:v>5</c:v>
                </c:pt>
                <c:pt idx="8">
                  <c:v>5.2222222222222223</c:v>
                </c:pt>
                <c:pt idx="9">
                  <c:v>4.2222222222222223</c:v>
                </c:pt>
                <c:pt idx="10">
                  <c:v>4.8571428571428568</c:v>
                </c:pt>
                <c:pt idx="11">
                  <c:v>3.8888888888888888</c:v>
                </c:pt>
                <c:pt idx="12">
                  <c:v>4</c:v>
                </c:pt>
                <c:pt idx="13">
                  <c:v>5</c:v>
                </c:pt>
                <c:pt idx="14">
                  <c:v>5.7777777777777777</c:v>
                </c:pt>
                <c:pt idx="15">
                  <c:v>2.6</c:v>
                </c:pt>
                <c:pt idx="16">
                  <c:v>6.5</c:v>
                </c:pt>
                <c:pt idx="17">
                  <c:v>3.8181818181818183</c:v>
                </c:pt>
                <c:pt idx="18">
                  <c:v>4.4000000000000004</c:v>
                </c:pt>
                <c:pt idx="19">
                  <c:v>4.5</c:v>
                </c:pt>
                <c:pt idx="20">
                  <c:v>4.625</c:v>
                </c:pt>
                <c:pt idx="21">
                  <c:v>4.5</c:v>
                </c:pt>
                <c:pt idx="22">
                  <c:v>5.833333333333333</c:v>
                </c:pt>
                <c:pt idx="23">
                  <c:v>4.666666666666667</c:v>
                </c:pt>
                <c:pt idx="24">
                  <c:v>4.666666666666667</c:v>
                </c:pt>
                <c:pt idx="25">
                  <c:v>6.75</c:v>
                </c:pt>
                <c:pt idx="26">
                  <c:v>5.7</c:v>
                </c:pt>
                <c:pt idx="27">
                  <c:v>5.5</c:v>
                </c:pt>
                <c:pt idx="28">
                  <c:v>6.2222222222222223</c:v>
                </c:pt>
                <c:pt idx="29">
                  <c:v>5.833333333333333</c:v>
                </c:pt>
              </c:numCache>
            </c:numRef>
          </c:val>
          <c:extLst>
            <c:ext xmlns:c16="http://schemas.microsoft.com/office/drawing/2014/chart" uri="{C3380CC4-5D6E-409C-BE32-E72D297353CC}">
              <c16:uniqueId val="{00000000-1E9D-4E54-8FA0-917CF127E84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74384879"/>
        <c:axId val="1925545615"/>
      </c:areaChart>
      <c:catAx>
        <c:axId val="77438487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25545615"/>
        <c:crosses val="autoZero"/>
        <c:auto val="1"/>
        <c:lblAlgn val="ctr"/>
        <c:lblOffset val="100"/>
        <c:noMultiLvlLbl val="0"/>
      </c:catAx>
      <c:valAx>
        <c:axId val="1925545615"/>
        <c:scaling>
          <c:orientation val="minMax"/>
        </c:scaling>
        <c:delete val="1"/>
        <c:axPos val="l"/>
        <c:numFmt formatCode="0.00" sourceLinked="1"/>
        <c:majorTickMark val="out"/>
        <c:minorTickMark val="none"/>
        <c:tickLblPos val="nextTo"/>
        <c:crossAx val="77438487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3.emf"/><Relationship Id="rId3" Type="http://schemas.openxmlformats.org/officeDocument/2006/relationships/chart" Target="../charts/chart2.xml"/><Relationship Id="rId7" Type="http://schemas.openxmlformats.org/officeDocument/2006/relationships/chart" Target="../charts/chart4.xml"/><Relationship Id="rId12" Type="http://schemas.openxmlformats.org/officeDocument/2006/relationships/chart" Target="../charts/chart8.xml"/><Relationship Id="rId2" Type="http://schemas.openxmlformats.org/officeDocument/2006/relationships/hyperlink" Target="#'Daily ER No. of Patient'!A1"/><Relationship Id="rId1" Type="http://schemas.openxmlformats.org/officeDocument/2006/relationships/image" Target="../media/image2.png"/><Relationship Id="rId6" Type="http://schemas.openxmlformats.org/officeDocument/2006/relationships/hyperlink" Target="#'Satisfaction Score Daily Trend'!A1"/><Relationship Id="rId11" Type="http://schemas.openxmlformats.org/officeDocument/2006/relationships/chart" Target="../charts/chart7.xml"/><Relationship Id="rId5" Type="http://schemas.openxmlformats.org/officeDocument/2006/relationships/chart" Target="../charts/chart3.xml"/><Relationship Id="rId10" Type="http://schemas.openxmlformats.org/officeDocument/2006/relationships/chart" Target="../charts/chart6.xml"/><Relationship Id="rId4" Type="http://schemas.openxmlformats.org/officeDocument/2006/relationships/hyperlink" Target="#'Average Wait Time'!A1"/><Relationship Id="rId9"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6.svg"/></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6.svg"/></Relationships>
</file>

<file path=xl/drawings/_rels/drawing6.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6.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3</xdr:col>
      <xdr:colOff>15240</xdr:colOff>
      <xdr:row>44</xdr:row>
      <xdr:rowOff>190500</xdr:rowOff>
    </xdr:from>
    <xdr:to>
      <xdr:col>4</xdr:col>
      <xdr:colOff>289560</xdr:colOff>
      <xdr:row>47</xdr:row>
      <xdr:rowOff>76200</xdr:rowOff>
    </xdr:to>
    <xdr:graphicFrame macro="">
      <xdr:nvGraphicFramePr>
        <xdr:cNvPr id="7" name="Chart 6">
          <a:extLst>
            <a:ext uri="{FF2B5EF4-FFF2-40B4-BE49-F238E27FC236}">
              <a16:creationId xmlns:a16="http://schemas.microsoft.com/office/drawing/2014/main" id="{AA2F0DF4-A22C-3C51-5DA3-D376241A2C12}"/>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67309</xdr:colOff>
      <xdr:row>0</xdr:row>
      <xdr:rowOff>39369</xdr:rowOff>
    </xdr:from>
    <xdr:to>
      <xdr:col>11</xdr:col>
      <xdr:colOff>84666</xdr:colOff>
      <xdr:row>5</xdr:row>
      <xdr:rowOff>8467</xdr:rowOff>
    </xdr:to>
    <xdr:sp macro="" textlink="">
      <xdr:nvSpPr>
        <xdr:cNvPr id="2" name="Rectangle: Rounded Corners 1">
          <a:extLst>
            <a:ext uri="{FF2B5EF4-FFF2-40B4-BE49-F238E27FC236}">
              <a16:creationId xmlns:a16="http://schemas.microsoft.com/office/drawing/2014/main" id="{B62EA2CC-CBE2-C308-1776-0B5E069D9788}"/>
            </a:ext>
          </a:extLst>
        </xdr:cNvPr>
        <xdr:cNvSpPr/>
      </xdr:nvSpPr>
      <xdr:spPr>
        <a:xfrm>
          <a:off x="67309" y="39369"/>
          <a:ext cx="6722957" cy="900431"/>
        </a:xfrm>
        <a:prstGeom prst="roundRect">
          <a:avLst>
            <a:gd name="adj" fmla="val 0"/>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75777</xdr:colOff>
      <xdr:row>5</xdr:row>
      <xdr:rowOff>76198</xdr:rowOff>
    </xdr:from>
    <xdr:to>
      <xdr:col>2</xdr:col>
      <xdr:colOff>101600</xdr:colOff>
      <xdr:row>27</xdr:row>
      <xdr:rowOff>59266</xdr:rowOff>
    </xdr:to>
    <xdr:sp macro="" textlink="">
      <xdr:nvSpPr>
        <xdr:cNvPr id="3" name="Rectangle: Rounded Corners 2">
          <a:extLst>
            <a:ext uri="{FF2B5EF4-FFF2-40B4-BE49-F238E27FC236}">
              <a16:creationId xmlns:a16="http://schemas.microsoft.com/office/drawing/2014/main" id="{2772FB14-0F6C-29F6-9A30-D41252CBC3DA}"/>
            </a:ext>
          </a:extLst>
        </xdr:cNvPr>
        <xdr:cNvSpPr/>
      </xdr:nvSpPr>
      <xdr:spPr>
        <a:xfrm>
          <a:off x="75777" y="1007531"/>
          <a:ext cx="1245023" cy="4080935"/>
        </a:xfrm>
        <a:prstGeom prst="roundRect">
          <a:avLst>
            <a:gd name="adj" fmla="val 0"/>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8466</xdr:colOff>
      <xdr:row>0</xdr:row>
      <xdr:rowOff>143933</xdr:rowOff>
    </xdr:from>
    <xdr:to>
      <xdr:col>11</xdr:col>
      <xdr:colOff>203199</xdr:colOff>
      <xdr:row>6</xdr:row>
      <xdr:rowOff>169333</xdr:rowOff>
    </xdr:to>
    <xdr:sp macro="" textlink="">
      <xdr:nvSpPr>
        <xdr:cNvPr id="4" name="TextBox 3">
          <a:extLst>
            <a:ext uri="{FF2B5EF4-FFF2-40B4-BE49-F238E27FC236}">
              <a16:creationId xmlns:a16="http://schemas.microsoft.com/office/drawing/2014/main" id="{C4D9EAB5-FBE8-E656-05DB-9A7EA260DB9B}"/>
            </a:ext>
          </a:extLst>
        </xdr:cNvPr>
        <xdr:cNvSpPr txBox="1"/>
      </xdr:nvSpPr>
      <xdr:spPr>
        <a:xfrm>
          <a:off x="618066" y="143933"/>
          <a:ext cx="6290733" cy="1143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2800" b="1">
              <a:solidFill>
                <a:sysClr val="windowText" lastClr="000000"/>
              </a:solidFill>
            </a:rPr>
            <a:t>Hospital Emergency Dashboard</a:t>
          </a:r>
        </a:p>
        <a:p>
          <a:pPr algn="ctr"/>
          <a:r>
            <a:rPr lang="en-US" sz="1400" b="1">
              <a:solidFill>
                <a:schemeClr val="tx1">
                  <a:lumMod val="75000"/>
                  <a:lumOff val="25000"/>
                </a:schemeClr>
              </a:solidFill>
            </a:rPr>
            <a:t>Monthly</a:t>
          </a:r>
          <a:r>
            <a:rPr lang="en-US" sz="1400" b="1" baseline="0">
              <a:solidFill>
                <a:schemeClr val="tx1">
                  <a:lumMod val="75000"/>
                  <a:lumOff val="25000"/>
                </a:schemeClr>
              </a:solidFill>
            </a:rPr>
            <a:t> Report</a:t>
          </a:r>
          <a:endParaRPr lang="en-US" sz="1400" b="1">
            <a:solidFill>
              <a:schemeClr val="tx1">
                <a:lumMod val="75000"/>
                <a:lumOff val="25000"/>
              </a:schemeClr>
            </a:solidFill>
          </a:endParaRPr>
        </a:p>
      </xdr:txBody>
    </xdr:sp>
    <xdr:clientData/>
  </xdr:twoCellAnchor>
  <xdr:twoCellAnchor editAs="oneCell">
    <xdr:from>
      <xdr:col>0</xdr:col>
      <xdr:colOff>0</xdr:colOff>
      <xdr:row>0</xdr:row>
      <xdr:rowOff>25401</xdr:rowOff>
    </xdr:from>
    <xdr:to>
      <xdr:col>2</xdr:col>
      <xdr:colOff>203200</xdr:colOff>
      <xdr:row>5</xdr:row>
      <xdr:rowOff>16934</xdr:rowOff>
    </xdr:to>
    <xdr:pic>
      <xdr:nvPicPr>
        <xdr:cNvPr id="6" name="Picture 5">
          <a:extLst>
            <a:ext uri="{FF2B5EF4-FFF2-40B4-BE49-F238E27FC236}">
              <a16:creationId xmlns:a16="http://schemas.microsoft.com/office/drawing/2014/main" id="{26FB8948-FECB-951B-6C64-B8CE7869E3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5401"/>
          <a:ext cx="1422400" cy="922866"/>
        </a:xfrm>
        <a:prstGeom prst="rect">
          <a:avLst/>
        </a:prstGeom>
      </xdr:spPr>
    </xdr:pic>
    <xdr:clientData/>
  </xdr:twoCellAnchor>
  <xdr:twoCellAnchor editAs="absolute">
    <xdr:from>
      <xdr:col>11</xdr:col>
      <xdr:colOff>194734</xdr:colOff>
      <xdr:row>0</xdr:row>
      <xdr:rowOff>39369</xdr:rowOff>
    </xdr:from>
    <xdr:to>
      <xdr:col>14</xdr:col>
      <xdr:colOff>194733</xdr:colOff>
      <xdr:row>5</xdr:row>
      <xdr:rowOff>8467</xdr:rowOff>
    </xdr:to>
    <xdr:sp macro="" textlink="">
      <xdr:nvSpPr>
        <xdr:cNvPr id="8" name="Rectangle: Rounded Corners 7">
          <a:extLst>
            <a:ext uri="{FF2B5EF4-FFF2-40B4-BE49-F238E27FC236}">
              <a16:creationId xmlns:a16="http://schemas.microsoft.com/office/drawing/2014/main" id="{D4C324C8-15EA-CBAB-8C53-A72F4462EBCC}"/>
            </a:ext>
          </a:extLst>
        </xdr:cNvPr>
        <xdr:cNvSpPr/>
      </xdr:nvSpPr>
      <xdr:spPr>
        <a:xfrm>
          <a:off x="6900334" y="39369"/>
          <a:ext cx="1828799" cy="900431"/>
        </a:xfrm>
        <a:prstGeom prst="roundRect">
          <a:avLst>
            <a:gd name="adj" fmla="val 0"/>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14</xdr:col>
      <xdr:colOff>313268</xdr:colOff>
      <xdr:row>0</xdr:row>
      <xdr:rowOff>39369</xdr:rowOff>
    </xdr:from>
    <xdr:to>
      <xdr:col>17</xdr:col>
      <xdr:colOff>313267</xdr:colOff>
      <xdr:row>5</xdr:row>
      <xdr:rowOff>8467</xdr:rowOff>
    </xdr:to>
    <xdr:sp macro="" textlink="">
      <xdr:nvSpPr>
        <xdr:cNvPr id="9" name="Rectangle: Rounded Corners 8">
          <a:extLst>
            <a:ext uri="{FF2B5EF4-FFF2-40B4-BE49-F238E27FC236}">
              <a16:creationId xmlns:a16="http://schemas.microsoft.com/office/drawing/2014/main" id="{EE58C0F5-230B-90B2-8FE8-CC1CB87303E4}"/>
            </a:ext>
          </a:extLst>
        </xdr:cNvPr>
        <xdr:cNvSpPr/>
      </xdr:nvSpPr>
      <xdr:spPr>
        <a:xfrm>
          <a:off x="8847668" y="39369"/>
          <a:ext cx="1828799" cy="900431"/>
        </a:xfrm>
        <a:prstGeom prst="roundRect">
          <a:avLst>
            <a:gd name="adj" fmla="val 0"/>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17</xdr:col>
      <xdr:colOff>414868</xdr:colOff>
      <xdr:row>0</xdr:row>
      <xdr:rowOff>42333</xdr:rowOff>
    </xdr:from>
    <xdr:to>
      <xdr:col>20</xdr:col>
      <xdr:colOff>414867</xdr:colOff>
      <xdr:row>5</xdr:row>
      <xdr:rowOff>11431</xdr:rowOff>
    </xdr:to>
    <xdr:sp macro="" textlink="">
      <xdr:nvSpPr>
        <xdr:cNvPr id="10" name="Rectangle: Rounded Corners 9">
          <a:extLst>
            <a:ext uri="{FF2B5EF4-FFF2-40B4-BE49-F238E27FC236}">
              <a16:creationId xmlns:a16="http://schemas.microsoft.com/office/drawing/2014/main" id="{B739D75D-AB71-A86C-4D81-998294D30274}"/>
            </a:ext>
          </a:extLst>
        </xdr:cNvPr>
        <xdr:cNvSpPr/>
      </xdr:nvSpPr>
      <xdr:spPr>
        <a:xfrm>
          <a:off x="10778068" y="42333"/>
          <a:ext cx="1828799" cy="900431"/>
        </a:xfrm>
        <a:prstGeom prst="roundRect">
          <a:avLst>
            <a:gd name="adj" fmla="val 0"/>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11</xdr:col>
      <xdr:colOff>177800</xdr:colOff>
      <xdr:row>5</xdr:row>
      <xdr:rowOff>90169</xdr:rowOff>
    </xdr:from>
    <xdr:to>
      <xdr:col>20</xdr:col>
      <xdr:colOff>406401</xdr:colOff>
      <xdr:row>11</xdr:row>
      <xdr:rowOff>42334</xdr:rowOff>
    </xdr:to>
    <xdr:sp macro="" textlink="">
      <xdr:nvSpPr>
        <xdr:cNvPr id="11" name="Rectangle: Rounded Corners 10">
          <a:extLst>
            <a:ext uri="{FF2B5EF4-FFF2-40B4-BE49-F238E27FC236}">
              <a16:creationId xmlns:a16="http://schemas.microsoft.com/office/drawing/2014/main" id="{879F57A9-61E1-8B75-76E7-04B0FA871661}"/>
            </a:ext>
          </a:extLst>
        </xdr:cNvPr>
        <xdr:cNvSpPr/>
      </xdr:nvSpPr>
      <xdr:spPr>
        <a:xfrm>
          <a:off x="6883400" y="1021502"/>
          <a:ext cx="5715001" cy="1069765"/>
        </a:xfrm>
        <a:prstGeom prst="roundRect">
          <a:avLst>
            <a:gd name="adj" fmla="val 0"/>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11</xdr:col>
      <xdr:colOff>194733</xdr:colOff>
      <xdr:row>11</xdr:row>
      <xdr:rowOff>124036</xdr:rowOff>
    </xdr:from>
    <xdr:to>
      <xdr:col>20</xdr:col>
      <xdr:colOff>423334</xdr:colOff>
      <xdr:row>27</xdr:row>
      <xdr:rowOff>59266</xdr:rowOff>
    </xdr:to>
    <xdr:sp macro="" textlink="">
      <xdr:nvSpPr>
        <xdr:cNvPr id="15" name="Rectangle: Rounded Corners 14">
          <a:extLst>
            <a:ext uri="{FF2B5EF4-FFF2-40B4-BE49-F238E27FC236}">
              <a16:creationId xmlns:a16="http://schemas.microsoft.com/office/drawing/2014/main" id="{9F455EDB-55B9-A1CB-FC40-C2CF8240C2B8}"/>
            </a:ext>
          </a:extLst>
        </xdr:cNvPr>
        <xdr:cNvSpPr/>
      </xdr:nvSpPr>
      <xdr:spPr>
        <a:xfrm>
          <a:off x="6900333" y="2172969"/>
          <a:ext cx="5715001" cy="2915497"/>
        </a:xfrm>
        <a:prstGeom prst="roundRect">
          <a:avLst>
            <a:gd name="adj" fmla="val 0"/>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accent1">
                  <a:lumMod val="50000"/>
                </a:schemeClr>
              </a:solidFill>
            </a:rPr>
            <a:t>No. of Patient by</a:t>
          </a:r>
          <a:r>
            <a:rPr lang="en-US" sz="1200" baseline="0">
              <a:solidFill>
                <a:schemeClr val="accent1">
                  <a:lumMod val="50000"/>
                </a:schemeClr>
              </a:solidFill>
            </a:rPr>
            <a:t> Department Refereal</a:t>
          </a:r>
          <a:endParaRPr lang="en-US" sz="1200">
            <a:solidFill>
              <a:schemeClr val="accent1">
                <a:lumMod val="50000"/>
              </a:schemeClr>
            </a:solidFill>
          </a:endParaRPr>
        </a:p>
      </xdr:txBody>
    </xdr:sp>
    <xdr:clientData/>
  </xdr:twoCellAnchor>
  <xdr:twoCellAnchor editAs="absolute">
    <xdr:from>
      <xdr:col>2</xdr:col>
      <xdr:colOff>160867</xdr:colOff>
      <xdr:row>16</xdr:row>
      <xdr:rowOff>67733</xdr:rowOff>
    </xdr:from>
    <xdr:to>
      <xdr:col>11</xdr:col>
      <xdr:colOff>101601</xdr:colOff>
      <xdr:row>27</xdr:row>
      <xdr:rowOff>59267</xdr:rowOff>
    </xdr:to>
    <xdr:sp macro="" textlink="">
      <xdr:nvSpPr>
        <xdr:cNvPr id="16" name="Rectangle: Rounded Corners 15">
          <a:extLst>
            <a:ext uri="{FF2B5EF4-FFF2-40B4-BE49-F238E27FC236}">
              <a16:creationId xmlns:a16="http://schemas.microsoft.com/office/drawing/2014/main" id="{B0335D3D-F4C4-70D9-1856-E30F657427C1}"/>
            </a:ext>
          </a:extLst>
        </xdr:cNvPr>
        <xdr:cNvSpPr/>
      </xdr:nvSpPr>
      <xdr:spPr>
        <a:xfrm>
          <a:off x="1380067" y="3048000"/>
          <a:ext cx="5427134" cy="2040467"/>
        </a:xfrm>
        <a:prstGeom prst="roundRect">
          <a:avLst>
            <a:gd name="adj" fmla="val 0"/>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xdr:col>
      <xdr:colOff>160867</xdr:colOff>
      <xdr:row>5</xdr:row>
      <xdr:rowOff>84667</xdr:rowOff>
    </xdr:from>
    <xdr:to>
      <xdr:col>6</xdr:col>
      <xdr:colOff>372533</xdr:colOff>
      <xdr:row>15</xdr:row>
      <xdr:rowOff>177800</xdr:rowOff>
    </xdr:to>
    <xdr:sp macro="" textlink="">
      <xdr:nvSpPr>
        <xdr:cNvPr id="17" name="Rectangle: Rounded Corners 16">
          <a:extLst>
            <a:ext uri="{FF2B5EF4-FFF2-40B4-BE49-F238E27FC236}">
              <a16:creationId xmlns:a16="http://schemas.microsoft.com/office/drawing/2014/main" id="{87B0D769-1A46-8535-1FF9-CBE97636CD18}"/>
            </a:ext>
          </a:extLst>
        </xdr:cNvPr>
        <xdr:cNvSpPr/>
      </xdr:nvSpPr>
      <xdr:spPr>
        <a:xfrm>
          <a:off x="1380067" y="1016000"/>
          <a:ext cx="2650066" cy="1955800"/>
        </a:xfrm>
        <a:prstGeom prst="roundRect">
          <a:avLst>
            <a:gd name="adj" fmla="val 0"/>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6</xdr:col>
      <xdr:colOff>448733</xdr:colOff>
      <xdr:row>5</xdr:row>
      <xdr:rowOff>84667</xdr:rowOff>
    </xdr:from>
    <xdr:to>
      <xdr:col>11</xdr:col>
      <xdr:colOff>93134</xdr:colOff>
      <xdr:row>15</xdr:row>
      <xdr:rowOff>177800</xdr:rowOff>
    </xdr:to>
    <xdr:sp macro="" textlink="">
      <xdr:nvSpPr>
        <xdr:cNvPr id="18" name="Rectangle: Rounded Corners 17">
          <a:extLst>
            <a:ext uri="{FF2B5EF4-FFF2-40B4-BE49-F238E27FC236}">
              <a16:creationId xmlns:a16="http://schemas.microsoft.com/office/drawing/2014/main" id="{53F0E713-82B2-1910-7B83-D1F8B007E0D1}"/>
            </a:ext>
          </a:extLst>
        </xdr:cNvPr>
        <xdr:cNvSpPr/>
      </xdr:nvSpPr>
      <xdr:spPr>
        <a:xfrm>
          <a:off x="4106333" y="1016000"/>
          <a:ext cx="2692401" cy="1955800"/>
        </a:xfrm>
        <a:prstGeom prst="roundRect">
          <a:avLst>
            <a:gd name="adj" fmla="val 0"/>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203200</xdr:colOff>
      <xdr:row>1</xdr:row>
      <xdr:rowOff>169334</xdr:rowOff>
    </xdr:from>
    <xdr:to>
      <xdr:col>14</xdr:col>
      <xdr:colOff>194733</xdr:colOff>
      <xdr:row>3</xdr:row>
      <xdr:rowOff>25401</xdr:rowOff>
    </xdr:to>
    <xdr:sp macro="" textlink="">
      <xdr:nvSpPr>
        <xdr:cNvPr id="19" name="TextBox 18">
          <a:extLst>
            <a:ext uri="{FF2B5EF4-FFF2-40B4-BE49-F238E27FC236}">
              <a16:creationId xmlns:a16="http://schemas.microsoft.com/office/drawing/2014/main" id="{C8974A3C-1C24-6731-FD30-88A5A9435EE0}"/>
            </a:ext>
          </a:extLst>
        </xdr:cNvPr>
        <xdr:cNvSpPr txBox="1"/>
      </xdr:nvSpPr>
      <xdr:spPr>
        <a:xfrm>
          <a:off x="6908800" y="355601"/>
          <a:ext cx="1820333"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200" b="1">
              <a:solidFill>
                <a:schemeClr val="tx1"/>
              </a:solidFill>
            </a:rPr>
            <a:t>No. of Patient</a:t>
          </a:r>
        </a:p>
      </xdr:txBody>
    </xdr:sp>
    <xdr:clientData/>
  </xdr:twoCellAnchor>
  <xdr:twoCellAnchor>
    <xdr:from>
      <xdr:col>11</xdr:col>
      <xdr:colOff>194733</xdr:colOff>
      <xdr:row>0</xdr:row>
      <xdr:rowOff>101599</xdr:rowOff>
    </xdr:from>
    <xdr:to>
      <xdr:col>14</xdr:col>
      <xdr:colOff>194734</xdr:colOff>
      <xdr:row>2</xdr:row>
      <xdr:rowOff>50799</xdr:rowOff>
    </xdr:to>
    <xdr:sp macro="" textlink="'Pivot Report'!A5">
      <xdr:nvSpPr>
        <xdr:cNvPr id="20" name="TextBox 19">
          <a:extLst>
            <a:ext uri="{FF2B5EF4-FFF2-40B4-BE49-F238E27FC236}">
              <a16:creationId xmlns:a16="http://schemas.microsoft.com/office/drawing/2014/main" id="{07F9744B-D4C4-6D9B-E45F-0746AC248297}"/>
            </a:ext>
          </a:extLst>
        </xdr:cNvPr>
        <xdr:cNvSpPr txBox="1"/>
      </xdr:nvSpPr>
      <xdr:spPr>
        <a:xfrm>
          <a:off x="6900333" y="101599"/>
          <a:ext cx="1828801" cy="321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B699FAEC-07C3-41D5-AB4D-1DB9D2E81ADB}" type="TxLink">
            <a:rPr lang="en-US" sz="2000" b="1" i="0" u="none" strike="noStrike">
              <a:solidFill>
                <a:schemeClr val="tx1"/>
              </a:solidFill>
              <a:latin typeface="Aptos Narrow"/>
            </a:rPr>
            <a:pPr algn="ctr"/>
            <a:t>991</a:t>
          </a:fld>
          <a:endParaRPr lang="en-US" sz="2000" b="1">
            <a:solidFill>
              <a:schemeClr val="tx1"/>
            </a:solidFill>
          </a:endParaRPr>
        </a:p>
      </xdr:txBody>
    </xdr:sp>
    <xdr:clientData/>
  </xdr:twoCellAnchor>
  <xdr:twoCellAnchor>
    <xdr:from>
      <xdr:col>14</xdr:col>
      <xdr:colOff>321733</xdr:colOff>
      <xdr:row>1</xdr:row>
      <xdr:rowOff>160866</xdr:rowOff>
    </xdr:from>
    <xdr:to>
      <xdr:col>17</xdr:col>
      <xdr:colOff>313266</xdr:colOff>
      <xdr:row>3</xdr:row>
      <xdr:rowOff>16933</xdr:rowOff>
    </xdr:to>
    <xdr:sp macro="" textlink="">
      <xdr:nvSpPr>
        <xdr:cNvPr id="21" name="TextBox 20">
          <a:extLst>
            <a:ext uri="{FF2B5EF4-FFF2-40B4-BE49-F238E27FC236}">
              <a16:creationId xmlns:a16="http://schemas.microsoft.com/office/drawing/2014/main" id="{576E434D-3BE9-5363-0FD7-C20F0DF8AEC1}"/>
            </a:ext>
          </a:extLst>
        </xdr:cNvPr>
        <xdr:cNvSpPr txBox="1"/>
      </xdr:nvSpPr>
      <xdr:spPr>
        <a:xfrm>
          <a:off x="8856133" y="347133"/>
          <a:ext cx="1820333"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200" b="1">
              <a:solidFill>
                <a:schemeClr val="tx1"/>
              </a:solidFill>
            </a:rPr>
            <a:t>Average</a:t>
          </a:r>
          <a:r>
            <a:rPr lang="en-US" sz="1200" b="1" baseline="0">
              <a:solidFill>
                <a:schemeClr val="tx1"/>
              </a:solidFill>
            </a:rPr>
            <a:t> Wait Time</a:t>
          </a:r>
          <a:endParaRPr lang="en-US" sz="1200" b="1">
            <a:solidFill>
              <a:schemeClr val="tx1"/>
            </a:solidFill>
          </a:endParaRPr>
        </a:p>
      </xdr:txBody>
    </xdr:sp>
    <xdr:clientData/>
  </xdr:twoCellAnchor>
  <xdr:twoCellAnchor>
    <xdr:from>
      <xdr:col>14</xdr:col>
      <xdr:colOff>313266</xdr:colOff>
      <xdr:row>0</xdr:row>
      <xdr:rowOff>93131</xdr:rowOff>
    </xdr:from>
    <xdr:to>
      <xdr:col>17</xdr:col>
      <xdr:colOff>313267</xdr:colOff>
      <xdr:row>2</xdr:row>
      <xdr:rowOff>42331</xdr:rowOff>
    </xdr:to>
    <xdr:sp macro="" textlink="'Pivot Report'!A9">
      <xdr:nvSpPr>
        <xdr:cNvPr id="22" name="TextBox 21">
          <a:extLst>
            <a:ext uri="{FF2B5EF4-FFF2-40B4-BE49-F238E27FC236}">
              <a16:creationId xmlns:a16="http://schemas.microsoft.com/office/drawing/2014/main" id="{E50E6980-5917-5BDC-63AE-261D727B0C93}"/>
            </a:ext>
          </a:extLst>
        </xdr:cNvPr>
        <xdr:cNvSpPr txBox="1"/>
      </xdr:nvSpPr>
      <xdr:spPr>
        <a:xfrm>
          <a:off x="8847666" y="93131"/>
          <a:ext cx="1828801" cy="321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5365D4B6-5153-476C-9F6A-D1D55CC522DC}" type="TxLink">
            <a:rPr lang="en-US" sz="2000" b="1" i="0" u="none" strike="noStrike">
              <a:solidFill>
                <a:schemeClr val="tx1"/>
              </a:solidFill>
              <a:latin typeface="Aptos Narrow"/>
            </a:rPr>
            <a:pPr algn="ctr"/>
            <a:t>35.54</a:t>
          </a:fld>
          <a:endParaRPr lang="en-US" sz="2000" b="1">
            <a:solidFill>
              <a:schemeClr val="tx1"/>
            </a:solidFill>
          </a:endParaRPr>
        </a:p>
      </xdr:txBody>
    </xdr:sp>
    <xdr:clientData/>
  </xdr:twoCellAnchor>
  <xdr:twoCellAnchor>
    <xdr:from>
      <xdr:col>17</xdr:col>
      <xdr:colOff>414866</xdr:colOff>
      <xdr:row>1</xdr:row>
      <xdr:rowOff>152400</xdr:rowOff>
    </xdr:from>
    <xdr:to>
      <xdr:col>20</xdr:col>
      <xdr:colOff>406399</xdr:colOff>
      <xdr:row>3</xdr:row>
      <xdr:rowOff>8467</xdr:rowOff>
    </xdr:to>
    <xdr:sp macro="" textlink="">
      <xdr:nvSpPr>
        <xdr:cNvPr id="23" name="TextBox 22">
          <a:extLst>
            <a:ext uri="{FF2B5EF4-FFF2-40B4-BE49-F238E27FC236}">
              <a16:creationId xmlns:a16="http://schemas.microsoft.com/office/drawing/2014/main" id="{9E687A64-C391-4C7C-D7D9-1D00D097BAF6}"/>
            </a:ext>
          </a:extLst>
        </xdr:cNvPr>
        <xdr:cNvSpPr txBox="1"/>
      </xdr:nvSpPr>
      <xdr:spPr>
        <a:xfrm>
          <a:off x="10778066" y="338667"/>
          <a:ext cx="1820333"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200" b="1">
              <a:solidFill>
                <a:schemeClr val="tx1"/>
              </a:solidFill>
            </a:rPr>
            <a:t>Patient</a:t>
          </a:r>
          <a:r>
            <a:rPr lang="en-US" sz="1200" b="1" baseline="0">
              <a:solidFill>
                <a:schemeClr val="tx1"/>
              </a:solidFill>
            </a:rPr>
            <a:t> Satisfaction Score</a:t>
          </a:r>
          <a:endParaRPr lang="en-US" sz="1200" b="1">
            <a:solidFill>
              <a:schemeClr val="tx1"/>
            </a:solidFill>
          </a:endParaRPr>
        </a:p>
      </xdr:txBody>
    </xdr:sp>
    <xdr:clientData/>
  </xdr:twoCellAnchor>
  <xdr:twoCellAnchor>
    <xdr:from>
      <xdr:col>17</xdr:col>
      <xdr:colOff>406399</xdr:colOff>
      <xdr:row>0</xdr:row>
      <xdr:rowOff>84665</xdr:rowOff>
    </xdr:from>
    <xdr:to>
      <xdr:col>20</xdr:col>
      <xdr:colOff>406400</xdr:colOff>
      <xdr:row>2</xdr:row>
      <xdr:rowOff>33865</xdr:rowOff>
    </xdr:to>
    <xdr:sp macro="" textlink="'Pivot Report'!A14">
      <xdr:nvSpPr>
        <xdr:cNvPr id="24" name="TextBox 23">
          <a:extLst>
            <a:ext uri="{FF2B5EF4-FFF2-40B4-BE49-F238E27FC236}">
              <a16:creationId xmlns:a16="http://schemas.microsoft.com/office/drawing/2014/main" id="{B15085F9-4B6A-723B-31E7-510F7547C29E}"/>
            </a:ext>
          </a:extLst>
        </xdr:cNvPr>
        <xdr:cNvSpPr txBox="1"/>
      </xdr:nvSpPr>
      <xdr:spPr>
        <a:xfrm>
          <a:off x="10769599" y="84665"/>
          <a:ext cx="1828801" cy="321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0490C91A-6637-49E0-952F-BE06F75D1FB5}" type="TxLink">
            <a:rPr lang="en-US" sz="2000" b="1" i="0" u="none" strike="noStrike">
              <a:solidFill>
                <a:sysClr val="windowText" lastClr="000000"/>
              </a:solidFill>
              <a:latin typeface="Aptos Narrow"/>
            </a:rPr>
            <a:pPr algn="ctr"/>
            <a:t>4.95</a:t>
          </a:fld>
          <a:endParaRPr lang="en-US" sz="2000" b="1">
            <a:solidFill>
              <a:sysClr val="windowText" lastClr="000000"/>
            </a:solidFill>
          </a:endParaRPr>
        </a:p>
      </xdr:txBody>
    </xdr:sp>
    <xdr:clientData/>
  </xdr:twoCellAnchor>
  <xdr:twoCellAnchor editAs="oneCell">
    <xdr:from>
      <xdr:col>0</xdr:col>
      <xdr:colOff>127003</xdr:colOff>
      <xdr:row>10</xdr:row>
      <xdr:rowOff>25399</xdr:rowOff>
    </xdr:from>
    <xdr:to>
      <xdr:col>2</xdr:col>
      <xdr:colOff>59269</xdr:colOff>
      <xdr:row>26</xdr:row>
      <xdr:rowOff>141134</xdr:rowOff>
    </xdr:to>
    <mc:AlternateContent xmlns:mc="http://schemas.openxmlformats.org/markup-compatibility/2006" xmlns:a14="http://schemas.microsoft.com/office/drawing/2010/main">
      <mc:Choice Requires="a14">
        <xdr:graphicFrame macro="">
          <xdr:nvGraphicFramePr>
            <xdr:cNvPr id="5" name="Date (Month)">
              <a:extLst>
                <a:ext uri="{FF2B5EF4-FFF2-40B4-BE49-F238E27FC236}">
                  <a16:creationId xmlns:a16="http://schemas.microsoft.com/office/drawing/2014/main" id="{57B866C0-37E9-4249-8B61-1E59EB67B5F2}"/>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27003" y="1888066"/>
              <a:ext cx="1151466" cy="30960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186267</xdr:colOff>
      <xdr:row>2</xdr:row>
      <xdr:rowOff>42334</xdr:rowOff>
    </xdr:from>
    <xdr:to>
      <xdr:col>14</xdr:col>
      <xdr:colOff>270933</xdr:colOff>
      <xdr:row>6</xdr:row>
      <xdr:rowOff>59267</xdr:rowOff>
    </xdr:to>
    <xdr:graphicFrame macro="">
      <xdr:nvGraphicFramePr>
        <xdr:cNvPr id="12" name="Chart 11">
          <a:hlinkClick xmlns:r="http://schemas.openxmlformats.org/officeDocument/2006/relationships" r:id="rId2"/>
          <a:extLst>
            <a:ext uri="{FF2B5EF4-FFF2-40B4-BE49-F238E27FC236}">
              <a16:creationId xmlns:a16="http://schemas.microsoft.com/office/drawing/2014/main" id="{CC75AB8E-6C78-488C-BF47-BF7CBD4A4A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304801</xdr:colOff>
      <xdr:row>2</xdr:row>
      <xdr:rowOff>177800</xdr:rowOff>
    </xdr:from>
    <xdr:to>
      <xdr:col>17</xdr:col>
      <xdr:colOff>423333</xdr:colOff>
      <xdr:row>5</xdr:row>
      <xdr:rowOff>16934</xdr:rowOff>
    </xdr:to>
    <xdr:graphicFrame macro="">
      <xdr:nvGraphicFramePr>
        <xdr:cNvPr id="13" name="Chart 12">
          <a:hlinkClick xmlns:r="http://schemas.openxmlformats.org/officeDocument/2006/relationships" r:id="rId4"/>
          <a:extLst>
            <a:ext uri="{FF2B5EF4-FFF2-40B4-BE49-F238E27FC236}">
              <a16:creationId xmlns:a16="http://schemas.microsoft.com/office/drawing/2014/main" id="{9D4455DF-CCF5-49FD-924A-C70ADCB1D1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355602</xdr:colOff>
      <xdr:row>2</xdr:row>
      <xdr:rowOff>110067</xdr:rowOff>
    </xdr:from>
    <xdr:to>
      <xdr:col>20</xdr:col>
      <xdr:colOff>482600</xdr:colOff>
      <xdr:row>5</xdr:row>
      <xdr:rowOff>50799</xdr:rowOff>
    </xdr:to>
    <xdr:graphicFrame macro="">
      <xdr:nvGraphicFramePr>
        <xdr:cNvPr id="14" name="Chart 13">
          <a:hlinkClick xmlns:r="http://schemas.openxmlformats.org/officeDocument/2006/relationships" r:id="rId6"/>
          <a:extLst>
            <a:ext uri="{FF2B5EF4-FFF2-40B4-BE49-F238E27FC236}">
              <a16:creationId xmlns:a16="http://schemas.microsoft.com/office/drawing/2014/main" id="{18B31C6D-162E-47AC-AAA4-2856D54939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169333</xdr:colOff>
          <xdr:row>5</xdr:row>
          <xdr:rowOff>84667</xdr:rowOff>
        </xdr:from>
        <xdr:to>
          <xdr:col>20</xdr:col>
          <xdr:colOff>413173</xdr:colOff>
          <xdr:row>11</xdr:row>
          <xdr:rowOff>35561</xdr:rowOff>
        </xdr:to>
        <xdr:pic>
          <xdr:nvPicPr>
            <xdr:cNvPr id="43" name="Picture 42">
              <a:extLst>
                <a:ext uri="{FF2B5EF4-FFF2-40B4-BE49-F238E27FC236}">
                  <a16:creationId xmlns:a16="http://schemas.microsoft.com/office/drawing/2014/main" id="{E3D07566-3C66-4C97-5C77-25788C25A01A}"/>
                </a:ext>
              </a:extLst>
            </xdr:cNvPr>
            <xdr:cNvPicPr>
              <a:picLocks noChangeAspect="1" noChangeArrowheads="1"/>
              <a:extLst>
                <a:ext uri="{84589F7E-364E-4C9E-8A38-B11213B215E9}">
                  <a14:cameraTool cellRange="'Pivot Report'!$A$45:$D$47" spid="_x0000_s1065"/>
                </a:ext>
              </a:extLst>
            </xdr:cNvPicPr>
          </xdr:nvPicPr>
          <xdr:blipFill>
            <a:blip xmlns:r="http://schemas.openxmlformats.org/officeDocument/2006/relationships" r:embed="rId8"/>
            <a:srcRect/>
            <a:stretch>
              <a:fillRect/>
            </a:stretch>
          </xdr:blipFill>
          <xdr:spPr bwMode="auto">
            <a:xfrm>
              <a:off x="6874933" y="1016000"/>
              <a:ext cx="5730240" cy="106849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533400</xdr:colOff>
      <xdr:row>15</xdr:row>
      <xdr:rowOff>169332</xdr:rowOff>
    </xdr:from>
    <xdr:to>
      <xdr:col>11</xdr:col>
      <xdr:colOff>0</xdr:colOff>
      <xdr:row>27</xdr:row>
      <xdr:rowOff>67731</xdr:rowOff>
    </xdr:to>
    <xdr:graphicFrame macro="">
      <xdr:nvGraphicFramePr>
        <xdr:cNvPr id="44" name="Chart 43">
          <a:extLst>
            <a:ext uri="{FF2B5EF4-FFF2-40B4-BE49-F238E27FC236}">
              <a16:creationId xmlns:a16="http://schemas.microsoft.com/office/drawing/2014/main" id="{FA399023-0A98-48E7-B543-F585766DC9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twoCellAnchor>
  <xdr:twoCellAnchor>
    <xdr:from>
      <xdr:col>1</xdr:col>
      <xdr:colOff>364067</xdr:colOff>
      <xdr:row>6</xdr:row>
      <xdr:rowOff>25399</xdr:rowOff>
    </xdr:from>
    <xdr:to>
      <xdr:col>7</xdr:col>
      <xdr:colOff>270933</xdr:colOff>
      <xdr:row>16</xdr:row>
      <xdr:rowOff>50799</xdr:rowOff>
    </xdr:to>
    <xdr:graphicFrame macro="">
      <xdr:nvGraphicFramePr>
        <xdr:cNvPr id="45" name="Chart 44">
          <a:extLst>
            <a:ext uri="{FF2B5EF4-FFF2-40B4-BE49-F238E27FC236}">
              <a16:creationId xmlns:a16="http://schemas.microsoft.com/office/drawing/2014/main" id="{4DCC82B3-FFD0-4F29-8C9C-FBF8DB7AAA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oneCellAnchor>
    <xdr:from>
      <xdr:col>2</xdr:col>
      <xdr:colOff>127000</xdr:colOff>
      <xdr:row>5</xdr:row>
      <xdr:rowOff>76200</xdr:rowOff>
    </xdr:from>
    <xdr:ext cx="1474956" cy="280205"/>
    <xdr:sp macro="" textlink="">
      <xdr:nvSpPr>
        <xdr:cNvPr id="47" name="TextBox 46">
          <a:extLst>
            <a:ext uri="{FF2B5EF4-FFF2-40B4-BE49-F238E27FC236}">
              <a16:creationId xmlns:a16="http://schemas.microsoft.com/office/drawing/2014/main" id="{1C4CA481-C8A1-E7AD-A6FC-4EF8A7B34B56}"/>
            </a:ext>
          </a:extLst>
        </xdr:cNvPr>
        <xdr:cNvSpPr txBox="1"/>
      </xdr:nvSpPr>
      <xdr:spPr>
        <a:xfrm>
          <a:off x="1346200" y="1007533"/>
          <a:ext cx="147495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a:solidFill>
                <a:schemeClr val="accent1">
                  <a:lumMod val="50000"/>
                </a:schemeClr>
              </a:solidFill>
            </a:rPr>
            <a:t>Patient Attend Status</a:t>
          </a:r>
        </a:p>
      </xdr:txBody>
    </xdr:sp>
    <xdr:clientData/>
  </xdr:oneCellAnchor>
  <xdr:twoCellAnchor>
    <xdr:from>
      <xdr:col>7</xdr:col>
      <xdr:colOff>8466</xdr:colOff>
      <xdr:row>4</xdr:row>
      <xdr:rowOff>118534</xdr:rowOff>
    </xdr:from>
    <xdr:to>
      <xdr:col>11</xdr:col>
      <xdr:colOff>101600</xdr:colOff>
      <xdr:row>18</xdr:row>
      <xdr:rowOff>110067</xdr:rowOff>
    </xdr:to>
    <xdr:graphicFrame macro="">
      <xdr:nvGraphicFramePr>
        <xdr:cNvPr id="48" name="Chart 47">
          <a:extLst>
            <a:ext uri="{FF2B5EF4-FFF2-40B4-BE49-F238E27FC236}">
              <a16:creationId xmlns:a16="http://schemas.microsoft.com/office/drawing/2014/main" id="{85F0DE3F-8F48-43CA-914B-618742972D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6</xdr:col>
      <xdr:colOff>431801</xdr:colOff>
      <xdr:row>5</xdr:row>
      <xdr:rowOff>76200</xdr:rowOff>
    </xdr:from>
    <xdr:ext cx="1481111" cy="280205"/>
    <xdr:sp macro="" textlink="">
      <xdr:nvSpPr>
        <xdr:cNvPr id="50" name="TextBox 49">
          <a:extLst>
            <a:ext uri="{FF2B5EF4-FFF2-40B4-BE49-F238E27FC236}">
              <a16:creationId xmlns:a16="http://schemas.microsoft.com/office/drawing/2014/main" id="{441E8258-F7F6-210D-39C7-9FAFF4EAF359}"/>
            </a:ext>
          </a:extLst>
        </xdr:cNvPr>
        <xdr:cNvSpPr txBox="1"/>
      </xdr:nvSpPr>
      <xdr:spPr>
        <a:xfrm>
          <a:off x="4089401" y="1007533"/>
          <a:ext cx="148111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a:solidFill>
                <a:schemeClr val="accent1">
                  <a:lumMod val="50000"/>
                </a:schemeClr>
              </a:solidFill>
            </a:rPr>
            <a:t>Gender wise Analysis</a:t>
          </a:r>
        </a:p>
      </xdr:txBody>
    </xdr:sp>
    <xdr:clientData/>
  </xdr:oneCellAnchor>
  <xdr:twoCellAnchor>
    <xdr:from>
      <xdr:col>10</xdr:col>
      <xdr:colOff>584200</xdr:colOff>
      <xdr:row>12</xdr:row>
      <xdr:rowOff>143932</xdr:rowOff>
    </xdr:from>
    <xdr:to>
      <xdr:col>20</xdr:col>
      <xdr:colOff>389467</xdr:colOff>
      <xdr:row>27</xdr:row>
      <xdr:rowOff>33867</xdr:rowOff>
    </xdr:to>
    <xdr:graphicFrame macro="">
      <xdr:nvGraphicFramePr>
        <xdr:cNvPr id="51" name="Chart 50">
          <a:extLst>
            <a:ext uri="{FF2B5EF4-FFF2-40B4-BE49-F238E27FC236}">
              <a16:creationId xmlns:a16="http://schemas.microsoft.com/office/drawing/2014/main" id="{DF044E7B-1298-4AD0-AD76-EEF82034B9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135468</xdr:colOff>
      <xdr:row>5</xdr:row>
      <xdr:rowOff>177800</xdr:rowOff>
    </xdr:from>
    <xdr:to>
      <xdr:col>2</xdr:col>
      <xdr:colOff>50801</xdr:colOff>
      <xdr:row>9</xdr:row>
      <xdr:rowOff>143933</xdr:rowOff>
    </xdr:to>
    <mc:AlternateContent xmlns:mc="http://schemas.openxmlformats.org/markup-compatibility/2006" xmlns:a14="http://schemas.microsoft.com/office/drawing/2010/main">
      <mc:Choice Requires="a14">
        <xdr:graphicFrame macro="">
          <xdr:nvGraphicFramePr>
            <xdr:cNvPr id="52" name="Date (Year)">
              <a:extLst>
                <a:ext uri="{FF2B5EF4-FFF2-40B4-BE49-F238E27FC236}">
                  <a16:creationId xmlns:a16="http://schemas.microsoft.com/office/drawing/2014/main" id="{212B1CCB-4580-4301-BA47-A0563EFBBF78}"/>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135468" y="1109133"/>
              <a:ext cx="1134533" cy="711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0.03805</cdr:x>
      <cdr:y>0.02381</cdr:y>
    </cdr:from>
    <cdr:to>
      <cdr:x>0.37595</cdr:x>
      <cdr:y>0.21032</cdr:y>
    </cdr:to>
    <cdr:sp macro="" textlink="">
      <cdr:nvSpPr>
        <cdr:cNvPr id="2" name="TextBox 1">
          <a:extLst xmlns:a="http://schemas.openxmlformats.org/drawingml/2006/main">
            <a:ext uri="{FF2B5EF4-FFF2-40B4-BE49-F238E27FC236}">
              <a16:creationId xmlns:a16="http://schemas.microsoft.com/office/drawing/2014/main" id="{4D66F153-1673-C168-FE03-E61F2D8CDB0B}"/>
            </a:ext>
          </a:extLst>
        </cdr:cNvPr>
        <cdr:cNvSpPr txBox="1"/>
      </cdr:nvSpPr>
      <cdr:spPr>
        <a:xfrm xmlns:a="http://schemas.openxmlformats.org/drawingml/2006/main">
          <a:off x="211657" y="50802"/>
          <a:ext cx="1879610" cy="39793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200" kern="1200">
              <a:solidFill>
                <a:schemeClr val="accent1">
                  <a:lumMod val="50000"/>
                </a:schemeClr>
              </a:solidFill>
            </a:rPr>
            <a:t>No. of Patient by Age Group</a:t>
          </a:r>
        </a:p>
      </cdr:txBody>
    </cdr:sp>
  </cdr:relSizeAnchor>
</c:userShapes>
</file>

<file path=xl/drawings/drawing4.xml><?xml version="1.0" encoding="utf-8"?>
<xdr:wsDr xmlns:xdr="http://schemas.openxmlformats.org/drawingml/2006/spreadsheetDrawing" xmlns:a="http://schemas.openxmlformats.org/drawingml/2006/main">
  <xdr:twoCellAnchor>
    <xdr:from>
      <xdr:col>1</xdr:col>
      <xdr:colOff>30480</xdr:colOff>
      <xdr:row>3</xdr:row>
      <xdr:rowOff>167640</xdr:rowOff>
    </xdr:from>
    <xdr:to>
      <xdr:col>18</xdr:col>
      <xdr:colOff>274320</xdr:colOff>
      <xdr:row>20</xdr:row>
      <xdr:rowOff>60960</xdr:rowOff>
    </xdr:to>
    <xdr:graphicFrame macro="">
      <xdr:nvGraphicFramePr>
        <xdr:cNvPr id="2" name="Chart 1">
          <a:extLst>
            <a:ext uri="{FF2B5EF4-FFF2-40B4-BE49-F238E27FC236}">
              <a16:creationId xmlns:a16="http://schemas.microsoft.com/office/drawing/2014/main" id="{896558E1-3516-4E00-9DDA-CA2D73371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556260</xdr:colOff>
      <xdr:row>1</xdr:row>
      <xdr:rowOff>152400</xdr:rowOff>
    </xdr:from>
    <xdr:ext cx="7441781" cy="342851"/>
    <xdr:sp macro="" textlink="">
      <xdr:nvSpPr>
        <xdr:cNvPr id="4" name="TextBox 3">
          <a:extLst>
            <a:ext uri="{FF2B5EF4-FFF2-40B4-BE49-F238E27FC236}">
              <a16:creationId xmlns:a16="http://schemas.microsoft.com/office/drawing/2014/main" id="{F9ECCB60-58E9-183D-3485-990B687F12B6}"/>
            </a:ext>
          </a:extLst>
        </xdr:cNvPr>
        <xdr:cNvSpPr txBox="1"/>
      </xdr:nvSpPr>
      <xdr:spPr>
        <a:xfrm>
          <a:off x="556260" y="335280"/>
          <a:ext cx="7441781"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u="none">
              <a:solidFill>
                <a:schemeClr val="accent1">
                  <a:lumMod val="50000"/>
                </a:schemeClr>
              </a:solidFill>
            </a:rPr>
            <a:t>Showing a daily</a:t>
          </a:r>
          <a:r>
            <a:rPr lang="en-US" sz="1600" u="none" baseline="0">
              <a:solidFill>
                <a:schemeClr val="accent1">
                  <a:lumMod val="50000"/>
                </a:schemeClr>
              </a:solidFill>
            </a:rPr>
            <a:t> trend with an area chart to spot patterns like busy days or seasonal trends</a:t>
          </a:r>
          <a:endParaRPr lang="en-US" sz="1600" u="none">
            <a:solidFill>
              <a:schemeClr val="accent1">
                <a:lumMod val="50000"/>
              </a:schemeClr>
            </a:solidFill>
          </a:endParaRPr>
        </a:p>
      </xdr:txBody>
    </xdr:sp>
    <xdr:clientData/>
  </xdr:oneCellAnchor>
  <xdr:twoCellAnchor editAs="oneCell">
    <xdr:from>
      <xdr:col>1</xdr:col>
      <xdr:colOff>60960</xdr:colOff>
      <xdr:row>4</xdr:row>
      <xdr:rowOff>7620</xdr:rowOff>
    </xdr:from>
    <xdr:to>
      <xdr:col>1</xdr:col>
      <xdr:colOff>342900</xdr:colOff>
      <xdr:row>5</xdr:row>
      <xdr:rowOff>83820</xdr:rowOff>
    </xdr:to>
    <xdr:pic>
      <xdr:nvPicPr>
        <xdr:cNvPr id="6" name="Graphic 5" descr="Home with solid fill">
          <a:hlinkClick xmlns:r="http://schemas.openxmlformats.org/officeDocument/2006/relationships" r:id="rId2"/>
          <a:extLst>
            <a:ext uri="{FF2B5EF4-FFF2-40B4-BE49-F238E27FC236}">
              <a16:creationId xmlns:a16="http://schemas.microsoft.com/office/drawing/2014/main" id="{6D1DAE98-9460-9A2E-518D-EEC57EC152D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70560" y="739140"/>
          <a:ext cx="281940" cy="25908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434340</xdr:colOff>
      <xdr:row>4</xdr:row>
      <xdr:rowOff>121920</xdr:rowOff>
    </xdr:from>
    <xdr:to>
      <xdr:col>18</xdr:col>
      <xdr:colOff>45720</xdr:colOff>
      <xdr:row>21</xdr:row>
      <xdr:rowOff>60960</xdr:rowOff>
    </xdr:to>
    <xdr:graphicFrame macro="">
      <xdr:nvGraphicFramePr>
        <xdr:cNvPr id="2" name="Chart 1">
          <a:extLst>
            <a:ext uri="{FF2B5EF4-FFF2-40B4-BE49-F238E27FC236}">
              <a16:creationId xmlns:a16="http://schemas.microsoft.com/office/drawing/2014/main" id="{E4ADB3E2-2F1A-459D-8A20-D0F4F8F3E5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457200</xdr:colOff>
      <xdr:row>4</xdr:row>
      <xdr:rowOff>144780</xdr:rowOff>
    </xdr:from>
    <xdr:to>
      <xdr:col>1</xdr:col>
      <xdr:colOff>129540</xdr:colOff>
      <xdr:row>6</xdr:row>
      <xdr:rowOff>38100</xdr:rowOff>
    </xdr:to>
    <xdr:pic>
      <xdr:nvPicPr>
        <xdr:cNvPr id="3" name="Graphic 2" descr="Home with solid fill">
          <a:hlinkClick xmlns:r="http://schemas.openxmlformats.org/officeDocument/2006/relationships" r:id="rId2"/>
          <a:extLst>
            <a:ext uri="{FF2B5EF4-FFF2-40B4-BE49-F238E27FC236}">
              <a16:creationId xmlns:a16="http://schemas.microsoft.com/office/drawing/2014/main" id="{E0799A4F-2167-4E15-8DBB-5A13B16C918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57200" y="876300"/>
          <a:ext cx="281940" cy="259080"/>
        </a:xfrm>
        <a:prstGeom prst="rect">
          <a:avLst/>
        </a:prstGeom>
      </xdr:spPr>
    </xdr:pic>
    <xdr:clientData/>
  </xdr:twoCellAnchor>
  <xdr:oneCellAnchor>
    <xdr:from>
      <xdr:col>0</xdr:col>
      <xdr:colOff>327660</xdr:colOff>
      <xdr:row>2</xdr:row>
      <xdr:rowOff>114300</xdr:rowOff>
    </xdr:from>
    <xdr:ext cx="6543586" cy="342851"/>
    <xdr:sp macro="" textlink="">
      <xdr:nvSpPr>
        <xdr:cNvPr id="4" name="TextBox 3">
          <a:extLst>
            <a:ext uri="{FF2B5EF4-FFF2-40B4-BE49-F238E27FC236}">
              <a16:creationId xmlns:a16="http://schemas.microsoft.com/office/drawing/2014/main" id="{9FF0CFC7-4240-7B01-90B3-AF2C3E71AA93}"/>
            </a:ext>
          </a:extLst>
        </xdr:cNvPr>
        <xdr:cNvSpPr txBox="1"/>
      </xdr:nvSpPr>
      <xdr:spPr>
        <a:xfrm>
          <a:off x="327660" y="480060"/>
          <a:ext cx="6543586"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a:solidFill>
                <a:schemeClr val="accent1">
                  <a:lumMod val="50000"/>
                </a:schemeClr>
              </a:solidFill>
            </a:rPr>
            <a:t>Using area</a:t>
          </a:r>
          <a:r>
            <a:rPr lang="en-US" sz="1600" baseline="0">
              <a:solidFill>
                <a:schemeClr val="accent1">
                  <a:lumMod val="50000"/>
                </a:schemeClr>
              </a:solidFill>
            </a:rPr>
            <a:t> chart to track daily changes and highlight days with longer wait time</a:t>
          </a:r>
          <a:endParaRPr lang="en-US" sz="1600">
            <a:solidFill>
              <a:schemeClr val="accent1">
                <a:lumMod val="50000"/>
              </a:schemeClr>
            </a:solidFill>
          </a:endParaRP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0</xdr:col>
      <xdr:colOff>373380</xdr:colOff>
      <xdr:row>2</xdr:row>
      <xdr:rowOff>121920</xdr:rowOff>
    </xdr:from>
    <xdr:ext cx="8289449" cy="342851"/>
    <xdr:sp macro="" textlink="">
      <xdr:nvSpPr>
        <xdr:cNvPr id="4" name="TextBox 3">
          <a:extLst>
            <a:ext uri="{FF2B5EF4-FFF2-40B4-BE49-F238E27FC236}">
              <a16:creationId xmlns:a16="http://schemas.microsoft.com/office/drawing/2014/main" id="{992123B7-CC13-4D6A-9783-E934B67AF6C4}"/>
            </a:ext>
          </a:extLst>
        </xdr:cNvPr>
        <xdr:cNvSpPr txBox="1"/>
      </xdr:nvSpPr>
      <xdr:spPr>
        <a:xfrm>
          <a:off x="373380" y="487680"/>
          <a:ext cx="8289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a:solidFill>
                <a:schemeClr val="accent1">
                  <a:lumMod val="50000"/>
                </a:schemeClr>
              </a:solidFill>
            </a:rPr>
            <a:t>Using area</a:t>
          </a:r>
          <a:r>
            <a:rPr lang="en-US" sz="1600" baseline="0">
              <a:solidFill>
                <a:schemeClr val="accent1">
                  <a:lumMod val="50000"/>
                </a:schemeClr>
              </a:solidFill>
            </a:rPr>
            <a:t> chart to show trends, spot drops in satisfaction and link them to busy times or challenges</a:t>
          </a:r>
          <a:endParaRPr lang="en-US" sz="1600">
            <a:solidFill>
              <a:schemeClr val="accent1">
                <a:lumMod val="50000"/>
              </a:schemeClr>
            </a:solidFill>
          </a:endParaRPr>
        </a:p>
      </xdr:txBody>
    </xdr:sp>
    <xdr:clientData/>
  </xdr:oneCellAnchor>
  <xdr:twoCellAnchor>
    <xdr:from>
      <xdr:col>0</xdr:col>
      <xdr:colOff>457200</xdr:colOff>
      <xdr:row>5</xdr:row>
      <xdr:rowOff>83820</xdr:rowOff>
    </xdr:from>
    <xdr:to>
      <xdr:col>16</xdr:col>
      <xdr:colOff>525780</xdr:colOff>
      <xdr:row>22</xdr:row>
      <xdr:rowOff>15240</xdr:rowOff>
    </xdr:to>
    <xdr:graphicFrame macro="">
      <xdr:nvGraphicFramePr>
        <xdr:cNvPr id="5" name="Chart 4">
          <a:extLst>
            <a:ext uri="{FF2B5EF4-FFF2-40B4-BE49-F238E27FC236}">
              <a16:creationId xmlns:a16="http://schemas.microsoft.com/office/drawing/2014/main" id="{839D3735-45AD-4AC0-9E50-0A924B941C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495300</xdr:colOff>
      <xdr:row>5</xdr:row>
      <xdr:rowOff>99060</xdr:rowOff>
    </xdr:from>
    <xdr:to>
      <xdr:col>1</xdr:col>
      <xdr:colOff>167640</xdr:colOff>
      <xdr:row>6</xdr:row>
      <xdr:rowOff>175260</xdr:rowOff>
    </xdr:to>
    <xdr:pic>
      <xdr:nvPicPr>
        <xdr:cNvPr id="3" name="Graphic 2" descr="Home with solid fill">
          <a:hlinkClick xmlns:r="http://schemas.openxmlformats.org/officeDocument/2006/relationships" r:id="rId2"/>
          <a:extLst>
            <a:ext uri="{FF2B5EF4-FFF2-40B4-BE49-F238E27FC236}">
              <a16:creationId xmlns:a16="http://schemas.microsoft.com/office/drawing/2014/main" id="{9467121E-58CC-4BCD-8859-CDFA67F487E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95300" y="1013460"/>
          <a:ext cx="281940" cy="2590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7.806640277777" createdVersion="5" refreshedVersion="8" minRefreshableVersion="3" recordCount="0" supportSubquery="1" supportAdvancedDrill="1" xr:uid="{6442EA02-309A-4426-88BA-96AB0E2A89A0}">
  <cacheSource type="external" connectionId="3"/>
  <cacheFields count="3">
    <cacheField name="[Measures].[Distinct Count of Patient Id]" caption="Distinct Count of Patient Id" numFmtId="0" hierarchy="24" level="32767"/>
    <cacheField name="[Calenda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7.806640509261" createdVersion="5" refreshedVersion="8" minRefreshableVersion="3" recordCount="0" supportSubquery="1" supportAdvancedDrill="1" xr:uid="{49C246AC-9DA9-4DC2-AF73-1DCD6D33F0FC}">
  <cacheSource type="external" connectionId="3"/>
  <cacheFields count="2">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7.806640625" createdVersion="5" refreshedVersion="8" minRefreshableVersion="3" recordCount="0" supportSubquery="1" supportAdvancedDrill="1" xr:uid="{2A495D58-DA28-44CD-A25A-357A2593FA7F}">
  <cacheSource type="external" connectionId="3"/>
  <cacheFields count="2">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7.806640972223" createdVersion="5" refreshedVersion="8" minRefreshableVersion="3" recordCount="0" supportSubquery="1" supportAdvancedDrill="1" xr:uid="{5FD17433-87A9-4D8B-828D-FC15049DDEF1}">
  <cacheSource type="external" connectionId="3"/>
  <cacheFields count="2">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7.806641319446" createdVersion="5" refreshedVersion="8" minRefreshableVersion="3" recordCount="0" supportSubquery="1" supportAdvancedDrill="1" xr:uid="{5DA9DB16-8627-46C3-AFDC-A312F98EDB91}">
  <cacheSource type="external" connectionId="3"/>
  <cacheFields count="3">
    <cacheField name="[Calenda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7.80664224537" createdVersion="5" refreshedVersion="8" minRefreshableVersion="3" recordCount="0" supportSubquery="1" supportAdvancedDrill="1" xr:uid="{28C0E208-651A-46B2-83CF-E7C81B64C52E}">
  <cacheSource type="external" connectionId="3"/>
  <cacheFields count="3">
    <cacheField name="[Calenda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7.806642592594" createdVersion="5" refreshedVersion="8" minRefreshableVersion="3" recordCount="0" supportSubquery="1" supportAdvancedDrill="1" xr:uid="{E058FD8E-D40B-440E-A9B0-1E2CB3E7F5CD}">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7.80664328704" createdVersion="5" refreshedVersion="8" minRefreshableVersion="3" recordCount="0" supportSubquery="1" supportAdvancedDrill="1" xr:uid="{CAF516BC-BE80-4E01-B7D5-73DA1D0F84AE}">
  <cacheSource type="external" connectionId="3"/>
  <cacheFields count="3">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09"/>
        <s v="20-19"/>
        <s v="30-39"/>
        <s v="40-49"/>
        <s v="50-59"/>
        <s v="60-69"/>
        <s v="70-79"/>
      </sharedItems>
    </cacheField>
    <cacheField name="[Measures].[Count of Age Group]" caption="Count of Age Group" numFmtId="0" hierarchy="30" level="32767"/>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7.806644097225" createdVersion="5" refreshedVersion="8" minRefreshableVersion="3" recordCount="0" supportSubquery="1" supportAdvancedDrill="1" xr:uid="{ABC66BE5-4D32-4437-A924-7C5B4B551C32}">
  <cacheSource type="external" connectionId="3"/>
  <cacheFields count="3">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7.806645023149" createdVersion="5" refreshedVersion="8" minRefreshableVersion="3" recordCount="0" supportSubquery="1" supportAdvancedDrill="1" xr:uid="{0B846B51-7BDC-4557-8052-C474D23FE671}">
  <cacheSource type="external" connectionId="3"/>
  <cacheFields count="3">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7.806645717596" createdVersion="5" refreshedVersion="8" minRefreshableVersion="3" recordCount="0" supportSubquery="1" supportAdvancedDrill="1" xr:uid="{446F9560-0D52-449F-A096-2BD1A531DE79}">
  <cacheSource type="external" connectionId="3"/>
  <cacheFields count="3">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7.806646643519" createdVersion="5" refreshedVersion="8" minRefreshableVersion="3" recordCount="0" supportSubquery="1" supportAdvancedDrill="1" xr:uid="{7F8761A0-A830-4A1D-8C1D-4949E8F1716C}">
  <cacheSource type="external" connectionId="3"/>
  <cacheFields count="4">
    <cacheField name="[Calendar_Table].[Date (Month)].[Date (Month)]" caption="Date (Month)" numFmtId="0" hierarchy="1" level="1">
      <sharedItems count="1">
        <s v="Jun"/>
      </sharedItems>
    </cacheField>
    <cacheField name="[Calendar_Table].[Date].[Date]" caption="Date" numFmtId="0" level="1">
      <sharedItems containsSemiMixedTypes="0" containsNonDate="0" containsDate="1" containsString="0" minDate="2023-06-01T00:00:00" maxDate="2024-07-01T00:00:00" count="6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sharedItems>
    </cacheField>
    <cacheField name="[Calendar_Table].[Date (Quarter)].[Date (Quarter)]" caption="Date (Quarter)" numFmtId="0" hierarchy="4" level="1">
      <sharedItems count="1">
        <s v="Qtr2"/>
      </sharedItems>
    </cacheField>
    <cacheField name="[Calendar_Table].[Date (Year)].[Date (Year)]" caption="Date (Year)" numFmtId="0" hierarchy="3" level="1">
      <sharedItems count="2">
        <s v="2023"/>
        <s v="2024"/>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7.640850810189" createdVersion="3" refreshedVersion="8" minRefreshableVersion="3" recordCount="0" supportSubquery="1" supportAdvancedDrill="1" xr:uid="{05270BFB-F295-469C-A0D1-FFF917CD055A}">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39989846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0FDEED-E53C-4547-9FEF-4093FB812007}" name="PivotTable2" cacheId="885" applyNumberFormats="0" applyBorderFormats="0" applyFontFormats="0" applyPatternFormats="0" applyAlignmentFormats="0" applyWidthHeightFormats="1" dataCaption="Values" tag="3f6ca795-dd81-4d80-aad0-286a66ce1c5e" updatedVersion="8" minRefreshableVersion="3" subtotalHiddenItems="1" itemPrintTitles="1" createdVersion="5" indent="0" outline="1" outlineData="1" multipleFieldFilters="0">
  <location ref="A8:A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0">
      <pivotArea outline="0" collapsedLevelsAreSubtotals="1" fieldPosition="0"/>
    </format>
  </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C10E80-3286-484B-B180-F001CA1AE811}" name="PivotTable8" cacheId="900" applyNumberFormats="0" applyBorderFormats="0" applyFontFormats="0" applyPatternFormats="0" applyAlignmentFormats="0" applyWidthHeightFormats="1" dataCaption="Values" tag="48d036bf-9d78-4220-8b05-c7e67534aa19" updatedVersion="8" minRefreshableVersion="3" subtotalHiddenItems="1" itemPrintTitles="1" createdVersion="5" indent="0" outline="1" outlineData="1" multipleFieldFilters="0" chartFormat="86">
  <location ref="A50:B59"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
    <format dxfId="1">
      <pivotArea outline="0" collapsedLevelsAreSubtotals="1" fieldPosition="0"/>
    </format>
  </formats>
  <chartFormats count="3">
    <chartFormat chart="83" format="1" series="1">
      <pivotArea type="data" outline="0" fieldPosition="0">
        <references count="1">
          <reference field="4294967294" count="1" selected="0">
            <x v="0"/>
          </reference>
        </references>
      </pivotArea>
    </chartFormat>
    <chartFormat chart="84" format="2" series="1">
      <pivotArea type="data" outline="0" fieldPosition="0">
        <references count="1">
          <reference field="4294967294" count="1" selected="0">
            <x v="0"/>
          </reference>
        </references>
      </pivotArea>
    </chartFormat>
    <chartFormat chart="85"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4D79E3-CF9E-44B3-B493-841BAFEA6A43}" name="PivotTable9" cacheId="903" applyNumberFormats="0" applyBorderFormats="0" applyFontFormats="0" applyPatternFormats="0" applyAlignmentFormats="0" applyWidthHeightFormats="1" dataCaption="Values" tag="48d036bf-9d78-4220-8b05-c7e67534aa19" updatedVersion="8" minRefreshableVersion="3" subtotalHiddenItems="1" itemPrintTitles="1" createdVersion="5" indent="0" outline="1" outlineData="1" multipleFieldFilters="0" chartFormat="92">
  <location ref="A63:B66"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Attend Status" fld="2" subtotal="count" baseField="0" baseItem="0"/>
  </dataFields>
  <formats count="2">
    <format dxfId="3">
      <pivotArea outline="0" collapsedLevelsAreSubtotals="1" fieldPosition="0"/>
    </format>
    <format dxfId="2">
      <pivotArea collapsedLevelsAreSubtotals="1" fieldPosition="0">
        <references count="1">
          <reference field="1" count="0"/>
        </references>
      </pivotArea>
    </format>
  </formats>
  <chartFormats count="3">
    <chartFormat chart="90" format="4" series="1">
      <pivotArea type="data" outline="0" fieldPosition="0">
        <references count="1">
          <reference field="4294967294" count="1" selected="0">
            <x v="0"/>
          </reference>
        </references>
      </pivotArea>
    </chartFormat>
    <chartFormat chart="90" format="5">
      <pivotArea type="data" outline="0" fieldPosition="0">
        <references count="2">
          <reference field="4294967294" count="1" selected="0">
            <x v="0"/>
          </reference>
          <reference field="1" count="1" selected="0">
            <x v="0"/>
          </reference>
        </references>
      </pivotArea>
    </chartFormat>
    <chartFormat chart="90"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C5133F-FE17-49A5-BC9D-11901F5ED47A}" name="PivotTable4" cacheId="879" applyNumberFormats="0" applyBorderFormats="0" applyFontFormats="0" applyPatternFormats="0" applyAlignmentFormats="0" applyWidthHeightFormats="1" dataCaption="Values" tag="a15a31d2-d2b4-4264-ac2e-7fe3f8c6cbcc" updatedVersion="8" minRefreshableVersion="3" subtotalHiddenItems="1" itemPrintTitles="1" createdVersion="5" indent="0" outline="1" outlineData="1" multipleFieldFilters="0" chartFormat="14">
  <location ref="D4:E35" firstHeaderRow="1" firstDataRow="1" firstDataCol="1"/>
  <pivotFields count="3">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9"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23B29E-9BCB-4BC1-982A-86CE67107237}" name="PivotTable1" cacheId="882" applyNumberFormats="0" applyBorderFormats="0" applyFontFormats="0" applyPatternFormats="0" applyAlignmentFormats="0" applyWidthHeightFormats="1" dataCaption="Values" tag="b72a1f41-ea9f-4ebf-bf11-637a75e1254b" updatedVersion="8" minRefreshableVersion="3" subtotalHiddenItems="1" itemPrintTitles="1" createdVersion="5"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71AEA6-5EF7-44A8-A29B-5173CE915E47}" name="PivotTable6" cacheId="894" applyNumberFormats="0" applyBorderFormats="0" applyFontFormats="0" applyPatternFormats="0" applyAlignmentFormats="0" applyWidthHeightFormats="1" dataCaption="Values" tag="a15a31d2-d2b4-4264-ac2e-7fe3f8c6cbcc" updatedVersion="8" minRefreshableVersion="3" subtotalHiddenItems="1" itemPrintTitles="1" createdVersion="5" indent="0" outline="1" outlineData="1" multipleFieldFilters="0" chartFormat="34">
  <location ref="J4:K35" firstHeaderRow="1" firstDataRow="1" firstDataCol="1"/>
  <pivotFields count="3">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4">
      <pivotArea collapsedLevelsAreSubtotals="1" fieldPosition="0">
        <references count="1">
          <reference field="0" count="0"/>
        </references>
      </pivotArea>
    </format>
  </formats>
  <chartFormats count="2">
    <chartFormat chart="29" format="2" series="1">
      <pivotArea type="data" outline="0" fieldPosition="0">
        <references count="1">
          <reference field="4294967294" count="1" selected="0">
            <x v="0"/>
          </reference>
        </references>
      </pivotArea>
    </chartFormat>
    <chartFormat chart="32"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121D707-C842-4BCB-B103-64007C01477B}" name="PivotTable10" cacheId="906" applyNumberFormats="0" applyBorderFormats="0" applyFontFormats="0" applyPatternFormats="0" applyAlignmentFormats="0" applyWidthHeightFormats="1" dataCaption="Values" tag="48d036bf-9d78-4220-8b05-c7e67534aa19" updatedVersion="8" minRefreshableVersion="3" subtotalHiddenItems="1" itemPrintTitles="1" createdVersion="5" indent="0" outline="1" outlineData="1" multipleFieldFilters="0" chartFormat="98">
  <location ref="A69:B72"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Gender" fld="2" subtotal="count" baseField="0" baseItem="0"/>
  </dataFields>
  <formats count="2">
    <format dxfId="6">
      <pivotArea outline="0" collapsedLevelsAreSubtotals="1" fieldPosition="0"/>
    </format>
    <format dxfId="5">
      <pivotArea collapsedLevelsAreSubtotals="1" fieldPosition="0">
        <references count="1">
          <reference field="1" count="0"/>
        </references>
      </pivotArea>
    </format>
  </formats>
  <chartFormats count="3">
    <chartFormat chart="96" format="4" series="1">
      <pivotArea type="data" outline="0" fieldPosition="0">
        <references count="1">
          <reference field="4294967294" count="1" selected="0">
            <x v="0"/>
          </reference>
        </references>
      </pivotArea>
    </chartFormat>
    <chartFormat chart="96" format="5">
      <pivotArea type="data" outline="0" fieldPosition="0">
        <references count="2">
          <reference field="4294967294" count="1" selected="0">
            <x v="0"/>
          </reference>
          <reference field="1" count="1" selected="0">
            <x v="0"/>
          </reference>
        </references>
      </pivotArea>
    </chartFormat>
    <chartFormat chart="96"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8806C37-9F48-4AFD-B3A9-E6B485A425E7}" name="PivotTable7" cacheId="897" applyNumberFormats="0" applyBorderFormats="0" applyFontFormats="0" applyPatternFormats="0" applyAlignmentFormats="0" applyWidthHeightFormats="1" dataCaption="Values" tag="48d036bf-9d78-4220-8b05-c7e67534aa19" updatedVersion="8" minRefreshableVersion="3" subtotalHiddenItems="1" itemPrintTitles="1" createdVersion="5" indent="0" outline="1" outlineData="1" multipleFieldFilters="0" chartFormat="81">
  <location ref="A39:C42" firstHeaderRow="0"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3"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3">
    <format dxfId="9">
      <pivotArea outline="0" collapsedLevelsAreSubtotals="1" fieldPosition="0"/>
    </format>
    <format dxfId="8">
      <pivotArea collapsedLevelsAreSubtotals="1" fieldPosition="0">
        <references count="1">
          <reference field="1" count="0"/>
        </references>
      </pivotArea>
    </format>
    <format dxfId="7">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Ju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A8FA14D-E96C-4536-87BF-EF60A946125F}" name="PivotTable5" cacheId="891" applyNumberFormats="0" applyBorderFormats="0" applyFontFormats="0" applyPatternFormats="0" applyAlignmentFormats="0" applyWidthHeightFormats="1" dataCaption="Values" tag="a15a31d2-d2b4-4264-ac2e-7fe3f8c6cbcc" updatedVersion="8" minRefreshableVersion="3" subtotalHiddenItems="1" itemPrintTitles="1" createdVersion="5" indent="0" outline="1" outlineData="1" multipleFieldFilters="0" chartFormat="25">
  <location ref="G4:H35" firstHeaderRow="1" firstDataRow="1" firstDataCol="1"/>
  <pivotFields count="3">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dataFields>
  <formats count="1">
    <format dxfId="10">
      <pivotArea collapsedLevelsAreSubtotals="1" fieldPosition="0">
        <references count="1">
          <reference field="0" count="0"/>
        </references>
      </pivotArea>
    </format>
  </formats>
  <chartFormats count="2">
    <chartFormat chart="18" format="2"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53ECA91-E196-494E-9FAE-6ECA19697CAF}" name="PivotTable12" cacheId="912" applyNumberFormats="0" applyBorderFormats="0" applyFontFormats="0" applyPatternFormats="0" applyAlignmentFormats="0" applyWidthHeightFormats="1" dataCaption="Values" tag="48d036bf-9d78-4220-8b05-c7e67534aa19" updatedVersion="8" minRefreshableVersion="3" subtotalHiddenItems="1" itemPrintTitles="1" createdVersion="5" indent="0" outline="1" outlineData="1" multipleFieldFilters="0" chartFormat="98">
  <location ref="A88:A155" firstHeaderRow="1" firstDataRow="1" firstDataCol="1"/>
  <pivotFields count="4">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2">
        <item x="0"/>
        <item x="1"/>
      </items>
    </pivotField>
  </pivotFields>
  <rowFields count="4">
    <field x="3"/>
    <field x="2"/>
    <field x="0"/>
    <field x="1"/>
  </rowFields>
  <rowItems count="67">
    <i>
      <x/>
    </i>
    <i r="1">
      <x/>
    </i>
    <i r="2">
      <x/>
    </i>
    <i r="3">
      <x/>
    </i>
    <i r="3">
      <x v="1"/>
    </i>
    <i r="3">
      <x v="2"/>
    </i>
    <i r="3">
      <x v="3"/>
    </i>
    <i r="3">
      <x v="4"/>
    </i>
    <i r="3">
      <x v="5"/>
    </i>
    <i r="3">
      <x v="6"/>
    </i>
    <i r="3">
      <x v="7"/>
    </i>
    <i r="3">
      <x v="8"/>
    </i>
    <i r="3">
      <x v="9"/>
    </i>
    <i r="3">
      <x v="10"/>
    </i>
    <i r="3">
      <x v="11"/>
    </i>
    <i r="3">
      <x v="12"/>
    </i>
    <i r="3">
      <x v="13"/>
    </i>
    <i r="3">
      <x v="14"/>
    </i>
    <i r="3">
      <x v="15"/>
    </i>
    <i r="3">
      <x v="16"/>
    </i>
    <i r="3">
      <x v="17"/>
    </i>
    <i r="3">
      <x v="18"/>
    </i>
    <i r="3">
      <x v="19"/>
    </i>
    <i r="3">
      <x v="20"/>
    </i>
    <i r="3">
      <x v="21"/>
    </i>
    <i r="3">
      <x v="22"/>
    </i>
    <i r="3">
      <x v="23"/>
    </i>
    <i r="3">
      <x v="24"/>
    </i>
    <i r="3">
      <x v="25"/>
    </i>
    <i r="3">
      <x v="26"/>
    </i>
    <i r="3">
      <x v="27"/>
    </i>
    <i r="3">
      <x v="28"/>
    </i>
    <i r="3">
      <x v="29"/>
    </i>
    <i>
      <x v="1"/>
    </i>
    <i r="1">
      <x/>
    </i>
    <i r="2">
      <x/>
    </i>
    <i r="3">
      <x v="30"/>
    </i>
    <i r="3">
      <x v="31"/>
    </i>
    <i r="3">
      <x v="32"/>
    </i>
    <i r="3">
      <x v="33"/>
    </i>
    <i r="3">
      <x v="34"/>
    </i>
    <i r="3">
      <x v="35"/>
    </i>
    <i r="3">
      <x v="36"/>
    </i>
    <i r="3">
      <x v="37"/>
    </i>
    <i r="3">
      <x v="38"/>
    </i>
    <i r="3">
      <x v="39"/>
    </i>
    <i r="3">
      <x v="40"/>
    </i>
    <i r="3">
      <x v="41"/>
    </i>
    <i r="3">
      <x v="42"/>
    </i>
    <i r="3">
      <x v="43"/>
    </i>
    <i r="3">
      <x v="44"/>
    </i>
    <i r="3">
      <x v="45"/>
    </i>
    <i r="3">
      <x v="46"/>
    </i>
    <i r="3">
      <x v="47"/>
    </i>
    <i r="3">
      <x v="48"/>
    </i>
    <i r="3">
      <x v="49"/>
    </i>
    <i r="3">
      <x v="50"/>
    </i>
    <i r="3">
      <x v="51"/>
    </i>
    <i r="3">
      <x v="52"/>
    </i>
    <i r="3">
      <x v="53"/>
    </i>
    <i r="3">
      <x v="54"/>
    </i>
    <i r="3">
      <x v="55"/>
    </i>
    <i r="3">
      <x v="56"/>
    </i>
    <i r="3">
      <x v="57"/>
    </i>
    <i r="3">
      <x v="58"/>
    </i>
    <i r="3">
      <x v="59"/>
    </i>
    <i t="grand">
      <x/>
    </i>
  </rowItems>
  <formats count="1">
    <format dxfId="11">
      <pivotArea outline="0" collapsedLevelsAreSubtotals="1" fieldPosition="0"/>
    </format>
  </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3D7BCB4-A941-4DCC-877C-BDCA9F0E1928}" name="PivotTable3" cacheId="888" applyNumberFormats="0" applyBorderFormats="0" applyFontFormats="0" applyPatternFormats="0" applyAlignmentFormats="0" applyWidthHeightFormats="1" dataCaption="Values" tag="48d036bf-9d78-4220-8b05-c7e67534aa19" updatedVersion="8" minRefreshableVersion="3" subtotalHiddenItems="1" itemPrintTitles="1" createdVersion="5" indent="0" outline="1" outlineData="1" multipleFieldFilters="0">
  <location ref="A13:A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2">
      <pivotArea outline="0" collapsedLevelsAreSubtotals="1" fieldPosition="0"/>
    </format>
  </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5401041-835E-4AEC-8C99-B41E598C79D0}" name="PivotTable11" cacheId="909" applyNumberFormats="0" applyBorderFormats="0" applyFontFormats="0" applyPatternFormats="0" applyAlignmentFormats="0" applyWidthHeightFormats="1" dataCaption="Values" tag="48d036bf-9d78-4220-8b05-c7e67534aa19" updatedVersion="8" minRefreshableVersion="3" subtotalHiddenItems="1" itemPrintTitles="1" createdVersion="5" indent="0" outline="1" outlineData="1" multipleFieldFilters="0" chartFormat="103">
  <location ref="A76:B85"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9">
    <i>
      <x v="7"/>
    </i>
    <i>
      <x v="1"/>
    </i>
    <i>
      <x/>
    </i>
    <i>
      <x v="3"/>
    </i>
    <i>
      <x v="6"/>
    </i>
    <i>
      <x v="5"/>
    </i>
    <i>
      <x v="2"/>
    </i>
    <i>
      <x v="4"/>
    </i>
    <i t="grand">
      <x/>
    </i>
  </rowItems>
  <colItems count="1">
    <i/>
  </colItems>
  <dataFields count="1">
    <dataField name="Count of Department Referral" fld="2" subtotal="count" baseField="0" baseItem="0"/>
  </dataFields>
  <formats count="2">
    <format dxfId="14">
      <pivotArea outline="0" collapsedLevelsAreSubtotals="1" fieldPosition="0"/>
    </format>
    <format dxfId="13">
      <pivotArea collapsedLevelsAreSubtotals="1" fieldPosition="0">
        <references count="1">
          <reference field="1" count="0"/>
        </references>
      </pivotArea>
    </format>
  </formats>
  <chartFormats count="1">
    <chartFormat chart="102"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C36A9A82-D65F-4EF3-AC89-BCFBB501D4EF}"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399898463">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Ju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8AC14F76-614D-40BB-85C7-B561D7753622}"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399898463">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ECD45AC0-CD5C-49AE-BE52-FDE4D40B998B}" cache="Slicer_Date__Month" caption="Date (Month)" showCaption="0" level="1" style="My Style" rowHeight="216000"/>
  <slicer name="Date (Year)" xr10:uid="{6E85723D-3FED-44C0-8555-056539F600AA}" cache="Slicer_Date__Year" caption="Date (Year)" showCaption="0" level="1" style="My Styl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86A4B-1E5F-435F-9F64-1BE3765D58C8}">
  <dimension ref="A3:K155"/>
  <sheetViews>
    <sheetView topLeftCell="A39" workbookViewId="0">
      <selection activeCell="H45" sqref="H45"/>
    </sheetView>
  </sheetViews>
  <sheetFormatPr defaultRowHeight="14.4" x14ac:dyDescent="0.3"/>
  <cols>
    <col min="1" max="1" width="19.33203125" customWidth="1"/>
    <col min="2" max="2" width="16.21875" customWidth="1"/>
    <col min="3" max="3" width="17.77734375" customWidth="1"/>
    <col min="4" max="4" width="30.109375" customWidth="1"/>
    <col min="5" max="5" width="23.33203125" bestFit="1" customWidth="1"/>
    <col min="7" max="7" width="12.44140625" bestFit="1" customWidth="1"/>
    <col min="8" max="8" width="23.33203125" bestFit="1" customWidth="1"/>
    <col min="10" max="10" width="12.44140625" bestFit="1" customWidth="1"/>
    <col min="11" max="11" width="31.77734375" bestFit="1" customWidth="1"/>
  </cols>
  <sheetData>
    <row r="3" spans="1:11" x14ac:dyDescent="0.3">
      <c r="D3" t="s">
        <v>5</v>
      </c>
      <c r="G3" t="s">
        <v>6</v>
      </c>
      <c r="J3" t="s">
        <v>7</v>
      </c>
    </row>
    <row r="4" spans="1:11" x14ac:dyDescent="0.3">
      <c r="A4" t="s">
        <v>2</v>
      </c>
      <c r="D4" s="1" t="s">
        <v>0</v>
      </c>
      <c r="E4" t="s">
        <v>2</v>
      </c>
      <c r="G4" s="1" t="s">
        <v>0</v>
      </c>
      <c r="H4" t="s">
        <v>3</v>
      </c>
      <c r="J4" s="1" t="s">
        <v>0</v>
      </c>
      <c r="K4" t="s">
        <v>4</v>
      </c>
    </row>
    <row r="5" spans="1:11" x14ac:dyDescent="0.3">
      <c r="A5" s="15">
        <v>991</v>
      </c>
      <c r="D5" s="2" t="s">
        <v>46</v>
      </c>
      <c r="E5" s="15">
        <v>43</v>
      </c>
      <c r="G5" s="2" t="s">
        <v>46</v>
      </c>
      <c r="H5" s="3">
        <v>34.279069767441861</v>
      </c>
      <c r="J5" s="2" t="s">
        <v>46</v>
      </c>
      <c r="K5" s="3">
        <v>4.7777777777777777</v>
      </c>
    </row>
    <row r="6" spans="1:11" x14ac:dyDescent="0.3">
      <c r="D6" s="2" t="s">
        <v>47</v>
      </c>
      <c r="E6" s="15">
        <v>27</v>
      </c>
      <c r="G6" s="2" t="s">
        <v>47</v>
      </c>
      <c r="H6" s="3">
        <v>36.222222222222221</v>
      </c>
      <c r="J6" s="2" t="s">
        <v>47</v>
      </c>
      <c r="K6" s="3">
        <v>5.2727272727272725</v>
      </c>
    </row>
    <row r="7" spans="1:11" x14ac:dyDescent="0.3">
      <c r="D7" s="2" t="s">
        <v>48</v>
      </c>
      <c r="E7" s="15">
        <v>42</v>
      </c>
      <c r="G7" s="2" t="s">
        <v>48</v>
      </c>
      <c r="H7" s="3">
        <v>35.904761904761905</v>
      </c>
      <c r="J7" s="2" t="s">
        <v>48</v>
      </c>
      <c r="K7" s="3">
        <v>4.2727272727272725</v>
      </c>
    </row>
    <row r="8" spans="1:11" x14ac:dyDescent="0.3">
      <c r="A8" t="s">
        <v>3</v>
      </c>
      <c r="D8" s="2" t="s">
        <v>49</v>
      </c>
      <c r="E8" s="15">
        <v>32</v>
      </c>
      <c r="G8" s="2" t="s">
        <v>49</v>
      </c>
      <c r="H8" s="3">
        <v>32.53125</v>
      </c>
      <c r="J8" s="2" t="s">
        <v>49</v>
      </c>
      <c r="K8" s="3">
        <v>5</v>
      </c>
    </row>
    <row r="9" spans="1:11" x14ac:dyDescent="0.3">
      <c r="A9" s="3">
        <v>35.544904137235115</v>
      </c>
      <c r="D9" s="2" t="s">
        <v>50</v>
      </c>
      <c r="E9" s="15">
        <v>32</v>
      </c>
      <c r="G9" s="2" t="s">
        <v>50</v>
      </c>
      <c r="H9" s="3">
        <v>33.84375</v>
      </c>
      <c r="J9" s="2" t="s">
        <v>50</v>
      </c>
      <c r="K9" s="3">
        <v>4.3571428571428568</v>
      </c>
    </row>
    <row r="10" spans="1:11" x14ac:dyDescent="0.3">
      <c r="D10" s="2" t="s">
        <v>51</v>
      </c>
      <c r="E10" s="15">
        <v>28</v>
      </c>
      <c r="G10" s="2" t="s">
        <v>51</v>
      </c>
      <c r="H10" s="3">
        <v>35.214285714285715</v>
      </c>
      <c r="J10" s="2" t="s">
        <v>51</v>
      </c>
      <c r="K10" s="3">
        <v>4.8571428571428568</v>
      </c>
    </row>
    <row r="11" spans="1:11" x14ac:dyDescent="0.3">
      <c r="D11" s="2" t="s">
        <v>52</v>
      </c>
      <c r="E11" s="15">
        <v>32</v>
      </c>
      <c r="G11" s="2" t="s">
        <v>52</v>
      </c>
      <c r="H11" s="3">
        <v>37.21875</v>
      </c>
      <c r="J11" s="2" t="s">
        <v>52</v>
      </c>
      <c r="K11" s="3">
        <v>5.125</v>
      </c>
    </row>
    <row r="12" spans="1:11" x14ac:dyDescent="0.3">
      <c r="D12" s="2" t="s">
        <v>53</v>
      </c>
      <c r="E12" s="15">
        <v>39</v>
      </c>
      <c r="G12" s="2" t="s">
        <v>53</v>
      </c>
      <c r="H12" s="3">
        <v>36.871794871794869</v>
      </c>
      <c r="J12" s="2" t="s">
        <v>53</v>
      </c>
      <c r="K12" s="3">
        <v>5</v>
      </c>
    </row>
    <row r="13" spans="1:11" x14ac:dyDescent="0.3">
      <c r="A13" t="s">
        <v>4</v>
      </c>
      <c r="D13" s="2" t="s">
        <v>54</v>
      </c>
      <c r="E13" s="15">
        <v>40</v>
      </c>
      <c r="G13" s="2" t="s">
        <v>54</v>
      </c>
      <c r="H13" s="3">
        <v>36.450000000000003</v>
      </c>
      <c r="J13" s="2" t="s">
        <v>54</v>
      </c>
      <c r="K13" s="3">
        <v>5.2222222222222223</v>
      </c>
    </row>
    <row r="14" spans="1:11" x14ac:dyDescent="0.3">
      <c r="A14" s="3">
        <v>4.947183098591549</v>
      </c>
      <c r="D14" s="2" t="s">
        <v>55</v>
      </c>
      <c r="E14" s="15">
        <v>31</v>
      </c>
      <c r="G14" s="2" t="s">
        <v>55</v>
      </c>
      <c r="H14" s="3">
        <v>32.935483870967744</v>
      </c>
      <c r="J14" s="2" t="s">
        <v>55</v>
      </c>
      <c r="K14" s="3">
        <v>4.2222222222222223</v>
      </c>
    </row>
    <row r="15" spans="1:11" x14ac:dyDescent="0.3">
      <c r="D15" s="2" t="s">
        <v>56</v>
      </c>
      <c r="E15" s="15">
        <v>34</v>
      </c>
      <c r="G15" s="2" t="s">
        <v>56</v>
      </c>
      <c r="H15" s="3">
        <v>41.323529411764703</v>
      </c>
      <c r="J15" s="2" t="s">
        <v>56</v>
      </c>
      <c r="K15" s="3">
        <v>4.8571428571428568</v>
      </c>
    </row>
    <row r="16" spans="1:11" x14ac:dyDescent="0.3">
      <c r="D16" s="2" t="s">
        <v>57</v>
      </c>
      <c r="E16" s="15">
        <v>37</v>
      </c>
      <c r="G16" s="2" t="s">
        <v>57</v>
      </c>
      <c r="H16" s="3">
        <v>34.432432432432435</v>
      </c>
      <c r="J16" s="2" t="s">
        <v>57</v>
      </c>
      <c r="K16" s="3">
        <v>3.8888888888888888</v>
      </c>
    </row>
    <row r="17" spans="4:11" x14ac:dyDescent="0.3">
      <c r="D17" s="2" t="s">
        <v>58</v>
      </c>
      <c r="E17" s="15">
        <v>30</v>
      </c>
      <c r="G17" s="2" t="s">
        <v>58</v>
      </c>
      <c r="H17" s="3">
        <v>36.966666666666669</v>
      </c>
      <c r="J17" s="2" t="s">
        <v>58</v>
      </c>
      <c r="K17" s="3">
        <v>4</v>
      </c>
    </row>
    <row r="18" spans="4:11" x14ac:dyDescent="0.3">
      <c r="D18" s="2" t="s">
        <v>59</v>
      </c>
      <c r="E18" s="15">
        <v>25</v>
      </c>
      <c r="G18" s="2" t="s">
        <v>59</v>
      </c>
      <c r="H18" s="3">
        <v>39.520000000000003</v>
      </c>
      <c r="J18" s="2" t="s">
        <v>59</v>
      </c>
      <c r="K18" s="3">
        <v>5</v>
      </c>
    </row>
    <row r="19" spans="4:11" x14ac:dyDescent="0.3">
      <c r="D19" s="2" t="s">
        <v>60</v>
      </c>
      <c r="E19" s="15">
        <v>38</v>
      </c>
      <c r="G19" s="2" t="s">
        <v>60</v>
      </c>
      <c r="H19" s="3">
        <v>36.026315789473685</v>
      </c>
      <c r="J19" s="2" t="s">
        <v>60</v>
      </c>
      <c r="K19" s="3">
        <v>5.7777777777777777</v>
      </c>
    </row>
    <row r="20" spans="4:11" x14ac:dyDescent="0.3">
      <c r="D20" s="2" t="s">
        <v>61</v>
      </c>
      <c r="E20" s="15">
        <v>27</v>
      </c>
      <c r="G20" s="2" t="s">
        <v>61</v>
      </c>
      <c r="H20" s="3">
        <v>32.370370370370374</v>
      </c>
      <c r="J20" s="2" t="s">
        <v>61</v>
      </c>
      <c r="K20" s="3">
        <v>2.6</v>
      </c>
    </row>
    <row r="21" spans="4:11" x14ac:dyDescent="0.3">
      <c r="D21" s="2" t="s">
        <v>62</v>
      </c>
      <c r="E21" s="15">
        <v>37</v>
      </c>
      <c r="G21" s="2" t="s">
        <v>62</v>
      </c>
      <c r="H21" s="3">
        <v>33.243243243243242</v>
      </c>
      <c r="J21" s="2" t="s">
        <v>62</v>
      </c>
      <c r="K21" s="3">
        <v>6.5</v>
      </c>
    </row>
    <row r="22" spans="4:11" x14ac:dyDescent="0.3">
      <c r="D22" s="2" t="s">
        <v>63</v>
      </c>
      <c r="E22" s="15">
        <v>33</v>
      </c>
      <c r="G22" s="2" t="s">
        <v>63</v>
      </c>
      <c r="H22" s="3">
        <v>33.575757575757578</v>
      </c>
      <c r="J22" s="2" t="s">
        <v>63</v>
      </c>
      <c r="K22" s="3">
        <v>3.8181818181818183</v>
      </c>
    </row>
    <row r="23" spans="4:11" x14ac:dyDescent="0.3">
      <c r="D23" s="2" t="s">
        <v>64</v>
      </c>
      <c r="E23" s="15">
        <v>23</v>
      </c>
      <c r="G23" s="2" t="s">
        <v>64</v>
      </c>
      <c r="H23" s="3">
        <v>31.130434782608695</v>
      </c>
      <c r="J23" s="2" t="s">
        <v>64</v>
      </c>
      <c r="K23" s="3">
        <v>4.4000000000000004</v>
      </c>
    </row>
    <row r="24" spans="4:11" x14ac:dyDescent="0.3">
      <c r="D24" s="2" t="s">
        <v>65</v>
      </c>
      <c r="E24" s="15">
        <v>27</v>
      </c>
      <c r="G24" s="2" t="s">
        <v>65</v>
      </c>
      <c r="H24" s="3">
        <v>36.888888888888886</v>
      </c>
      <c r="J24" s="2" t="s">
        <v>65</v>
      </c>
      <c r="K24" s="3">
        <v>4.5</v>
      </c>
    </row>
    <row r="25" spans="4:11" x14ac:dyDescent="0.3">
      <c r="D25" s="2" t="s">
        <v>66</v>
      </c>
      <c r="E25" s="15">
        <v>29</v>
      </c>
      <c r="G25" s="2" t="s">
        <v>66</v>
      </c>
      <c r="H25" s="3">
        <v>29.862068965517242</v>
      </c>
      <c r="J25" s="2" t="s">
        <v>66</v>
      </c>
      <c r="K25" s="3">
        <v>4.625</v>
      </c>
    </row>
    <row r="26" spans="4:11" x14ac:dyDescent="0.3">
      <c r="D26" s="2" t="s">
        <v>67</v>
      </c>
      <c r="E26" s="15">
        <v>38</v>
      </c>
      <c r="G26" s="2" t="s">
        <v>67</v>
      </c>
      <c r="H26" s="3">
        <v>36.526315789473685</v>
      </c>
      <c r="J26" s="2" t="s">
        <v>67</v>
      </c>
      <c r="K26" s="3">
        <v>4.5</v>
      </c>
    </row>
    <row r="27" spans="4:11" x14ac:dyDescent="0.3">
      <c r="D27" s="2" t="s">
        <v>68</v>
      </c>
      <c r="E27" s="15">
        <v>28</v>
      </c>
      <c r="G27" s="2" t="s">
        <v>68</v>
      </c>
      <c r="H27" s="3">
        <v>34.571428571428569</v>
      </c>
      <c r="J27" s="2" t="s">
        <v>68</v>
      </c>
      <c r="K27" s="3">
        <v>5.833333333333333</v>
      </c>
    </row>
    <row r="28" spans="4:11" x14ac:dyDescent="0.3">
      <c r="D28" s="2" t="s">
        <v>69</v>
      </c>
      <c r="E28" s="15">
        <v>36</v>
      </c>
      <c r="G28" s="2" t="s">
        <v>69</v>
      </c>
      <c r="H28" s="3">
        <v>38.5</v>
      </c>
      <c r="J28" s="2" t="s">
        <v>69</v>
      </c>
      <c r="K28" s="3">
        <v>4.666666666666667</v>
      </c>
    </row>
    <row r="29" spans="4:11" x14ac:dyDescent="0.3">
      <c r="D29" s="2" t="s">
        <v>70</v>
      </c>
      <c r="E29" s="15">
        <v>31</v>
      </c>
      <c r="G29" s="2" t="s">
        <v>70</v>
      </c>
      <c r="H29" s="3">
        <v>37.12903225806452</v>
      </c>
      <c r="J29" s="2" t="s">
        <v>70</v>
      </c>
      <c r="K29" s="3">
        <v>4.666666666666667</v>
      </c>
    </row>
    <row r="30" spans="4:11" x14ac:dyDescent="0.3">
      <c r="D30" s="2" t="s">
        <v>71</v>
      </c>
      <c r="E30" s="15">
        <v>34</v>
      </c>
      <c r="G30" s="2" t="s">
        <v>71</v>
      </c>
      <c r="H30" s="3">
        <v>33.852941176470587</v>
      </c>
      <c r="J30" s="2" t="s">
        <v>71</v>
      </c>
      <c r="K30" s="3">
        <v>6.75</v>
      </c>
    </row>
    <row r="31" spans="4:11" x14ac:dyDescent="0.3">
      <c r="D31" s="2" t="s">
        <v>72</v>
      </c>
      <c r="E31" s="15">
        <v>39</v>
      </c>
      <c r="G31" s="2" t="s">
        <v>72</v>
      </c>
      <c r="H31" s="3">
        <v>37.230769230769234</v>
      </c>
      <c r="J31" s="2" t="s">
        <v>72</v>
      </c>
      <c r="K31" s="3">
        <v>5.7</v>
      </c>
    </row>
    <row r="32" spans="4:11" x14ac:dyDescent="0.3">
      <c r="D32" s="2" t="s">
        <v>73</v>
      </c>
      <c r="E32" s="15">
        <v>40</v>
      </c>
      <c r="G32" s="2" t="s">
        <v>73</v>
      </c>
      <c r="H32" s="3">
        <v>36.075000000000003</v>
      </c>
      <c r="J32" s="2" t="s">
        <v>73</v>
      </c>
      <c r="K32" s="3">
        <v>5.5</v>
      </c>
    </row>
    <row r="33" spans="1:11" x14ac:dyDescent="0.3">
      <c r="D33" s="2" t="s">
        <v>74</v>
      </c>
      <c r="E33" s="15">
        <v>31</v>
      </c>
      <c r="G33" s="2" t="s">
        <v>74</v>
      </c>
      <c r="H33" s="3">
        <v>34.354838709677416</v>
      </c>
      <c r="J33" s="2" t="s">
        <v>74</v>
      </c>
      <c r="K33" s="3">
        <v>6.2222222222222223</v>
      </c>
    </row>
    <row r="34" spans="1:11" x14ac:dyDescent="0.3">
      <c r="D34" s="2" t="s">
        <v>75</v>
      </c>
      <c r="E34" s="15">
        <v>28</v>
      </c>
      <c r="G34" s="2" t="s">
        <v>75</v>
      </c>
      <c r="H34" s="3">
        <v>39.571428571428569</v>
      </c>
      <c r="J34" s="2" t="s">
        <v>75</v>
      </c>
      <c r="K34" s="3">
        <v>5.833333333333333</v>
      </c>
    </row>
    <row r="35" spans="1:11" x14ac:dyDescent="0.3">
      <c r="D35" s="2" t="s">
        <v>1</v>
      </c>
      <c r="E35" s="15">
        <v>991</v>
      </c>
      <c r="G35" s="2" t="s">
        <v>1</v>
      </c>
      <c r="H35" s="15">
        <v>35.544904137235115</v>
      </c>
      <c r="J35" s="2" t="s">
        <v>1</v>
      </c>
      <c r="K35" s="15">
        <v>4.947183098591549</v>
      </c>
    </row>
    <row r="39" spans="1:11" x14ac:dyDescent="0.3">
      <c r="A39" s="1" t="s">
        <v>0</v>
      </c>
      <c r="B39" t="s">
        <v>10</v>
      </c>
      <c r="C39" t="s">
        <v>11</v>
      </c>
    </row>
    <row r="40" spans="1:11" x14ac:dyDescent="0.3">
      <c r="A40" s="2" t="s">
        <v>8</v>
      </c>
      <c r="B40" s="8">
        <v>487</v>
      </c>
      <c r="C40" s="9">
        <v>0.49142280524722504</v>
      </c>
    </row>
    <row r="41" spans="1:11" x14ac:dyDescent="0.3">
      <c r="A41" s="2" t="s">
        <v>9</v>
      </c>
      <c r="B41" s="8">
        <v>504</v>
      </c>
      <c r="C41" s="9">
        <v>0.50857719475277496</v>
      </c>
    </row>
    <row r="42" spans="1:11" x14ac:dyDescent="0.3">
      <c r="A42" s="2" t="s">
        <v>1</v>
      </c>
      <c r="B42" s="3">
        <v>991</v>
      </c>
      <c r="C42" s="9">
        <v>1</v>
      </c>
    </row>
    <row r="45" spans="1:11" ht="30" customHeight="1" x14ac:dyDescent="0.3">
      <c r="A45" s="16" t="s">
        <v>12</v>
      </c>
      <c r="B45" s="16" t="s">
        <v>13</v>
      </c>
      <c r="C45" s="16" t="s">
        <v>14</v>
      </c>
      <c r="D45" s="17"/>
    </row>
    <row r="46" spans="1:11" ht="26.4" customHeight="1" x14ac:dyDescent="0.3">
      <c r="A46" s="10" t="str">
        <f>A41</f>
        <v>Not Admitted</v>
      </c>
      <c r="B46" s="10">
        <f>B41</f>
        <v>504</v>
      </c>
      <c r="C46" s="11">
        <f>C41</f>
        <v>0.50857719475277496</v>
      </c>
    </row>
    <row r="47" spans="1:11" ht="25.8" customHeight="1" x14ac:dyDescent="0.3">
      <c r="A47" s="10" t="str">
        <f>A40</f>
        <v>Admitted</v>
      </c>
      <c r="B47" s="10">
        <f>B40</f>
        <v>487</v>
      </c>
      <c r="C47" s="11">
        <f>C40</f>
        <v>0.49142280524722504</v>
      </c>
    </row>
    <row r="49" spans="1:2" x14ac:dyDescent="0.3">
      <c r="A49" t="s">
        <v>24</v>
      </c>
    </row>
    <row r="50" spans="1:2" x14ac:dyDescent="0.3">
      <c r="A50" s="1" t="s">
        <v>0</v>
      </c>
      <c r="B50" t="s">
        <v>23</v>
      </c>
    </row>
    <row r="51" spans="1:2" x14ac:dyDescent="0.3">
      <c r="A51" s="2" t="s">
        <v>15</v>
      </c>
      <c r="B51" s="3">
        <v>113</v>
      </c>
    </row>
    <row r="52" spans="1:2" x14ac:dyDescent="0.3">
      <c r="A52" s="2" t="s">
        <v>16</v>
      </c>
      <c r="B52" s="3">
        <v>127</v>
      </c>
    </row>
    <row r="53" spans="1:2" x14ac:dyDescent="0.3">
      <c r="A53" s="2" t="s">
        <v>17</v>
      </c>
      <c r="B53" s="3">
        <v>144</v>
      </c>
    </row>
    <row r="54" spans="1:2" x14ac:dyDescent="0.3">
      <c r="A54" s="2" t="s">
        <v>18</v>
      </c>
      <c r="B54" s="3">
        <v>126</v>
      </c>
    </row>
    <row r="55" spans="1:2" x14ac:dyDescent="0.3">
      <c r="A55" s="2" t="s">
        <v>19</v>
      </c>
      <c r="B55" s="3">
        <v>119</v>
      </c>
    </row>
    <row r="56" spans="1:2" x14ac:dyDescent="0.3">
      <c r="A56" s="2" t="s">
        <v>20</v>
      </c>
      <c r="B56" s="3">
        <v>109</v>
      </c>
    </row>
    <row r="57" spans="1:2" x14ac:dyDescent="0.3">
      <c r="A57" s="2" t="s">
        <v>21</v>
      </c>
      <c r="B57" s="3">
        <v>125</v>
      </c>
    </row>
    <row r="58" spans="1:2" x14ac:dyDescent="0.3">
      <c r="A58" s="2" t="s">
        <v>22</v>
      </c>
      <c r="B58" s="3">
        <v>128</v>
      </c>
    </row>
    <row r="59" spans="1:2" x14ac:dyDescent="0.3">
      <c r="A59" s="2" t="s">
        <v>1</v>
      </c>
      <c r="B59" s="3">
        <v>991</v>
      </c>
    </row>
    <row r="62" spans="1:2" x14ac:dyDescent="0.3">
      <c r="A62" s="2" t="s">
        <v>28</v>
      </c>
    </row>
    <row r="63" spans="1:2" x14ac:dyDescent="0.3">
      <c r="A63" s="1" t="s">
        <v>0</v>
      </c>
      <c r="B63" t="s">
        <v>27</v>
      </c>
    </row>
    <row r="64" spans="1:2" x14ac:dyDescent="0.3">
      <c r="A64" s="2" t="s">
        <v>26</v>
      </c>
      <c r="B64" s="8">
        <v>608</v>
      </c>
    </row>
    <row r="65" spans="1:2" x14ac:dyDescent="0.3">
      <c r="A65" s="2" t="s">
        <v>25</v>
      </c>
      <c r="B65" s="8">
        <v>383</v>
      </c>
    </row>
    <row r="66" spans="1:2" x14ac:dyDescent="0.3">
      <c r="A66" s="2" t="s">
        <v>1</v>
      </c>
      <c r="B66" s="3">
        <v>991</v>
      </c>
    </row>
    <row r="68" spans="1:2" x14ac:dyDescent="0.3">
      <c r="A68" s="2" t="s">
        <v>32</v>
      </c>
    </row>
    <row r="69" spans="1:2" x14ac:dyDescent="0.3">
      <c r="A69" s="1" t="s">
        <v>0</v>
      </c>
      <c r="B69" t="s">
        <v>31</v>
      </c>
    </row>
    <row r="70" spans="1:2" x14ac:dyDescent="0.3">
      <c r="A70" s="2" t="s">
        <v>29</v>
      </c>
      <c r="B70" s="8">
        <v>472</v>
      </c>
    </row>
    <row r="71" spans="1:2" x14ac:dyDescent="0.3">
      <c r="A71" s="2" t="s">
        <v>30</v>
      </c>
      <c r="B71" s="8">
        <v>519</v>
      </c>
    </row>
    <row r="72" spans="1:2" x14ac:dyDescent="0.3">
      <c r="A72" s="2" t="s">
        <v>1</v>
      </c>
      <c r="B72" s="3">
        <v>991</v>
      </c>
    </row>
    <row r="75" spans="1:2" x14ac:dyDescent="0.3">
      <c r="A75" s="2" t="s">
        <v>42</v>
      </c>
    </row>
    <row r="76" spans="1:2" x14ac:dyDescent="0.3">
      <c r="A76" s="1" t="s">
        <v>0</v>
      </c>
      <c r="B76" t="s">
        <v>41</v>
      </c>
    </row>
    <row r="77" spans="1:2" x14ac:dyDescent="0.3">
      <c r="A77" s="2" t="s">
        <v>40</v>
      </c>
      <c r="B77" s="8">
        <v>4</v>
      </c>
    </row>
    <row r="78" spans="1:2" x14ac:dyDescent="0.3">
      <c r="A78" s="2" t="s">
        <v>34</v>
      </c>
      <c r="B78" s="8">
        <v>23</v>
      </c>
    </row>
    <row r="79" spans="1:2" x14ac:dyDescent="0.3">
      <c r="A79" s="2" t="s">
        <v>33</v>
      </c>
      <c r="B79" s="8">
        <v>25</v>
      </c>
    </row>
    <row r="80" spans="1:2" x14ac:dyDescent="0.3">
      <c r="A80" s="2" t="s">
        <v>36</v>
      </c>
      <c r="B80" s="8">
        <v>27</v>
      </c>
    </row>
    <row r="81" spans="1:2" x14ac:dyDescent="0.3">
      <c r="A81" s="2" t="s">
        <v>39</v>
      </c>
      <c r="B81" s="8">
        <v>29</v>
      </c>
    </row>
    <row r="82" spans="1:2" x14ac:dyDescent="0.3">
      <c r="A82" s="2" t="s">
        <v>38</v>
      </c>
      <c r="B82" s="8">
        <v>113</v>
      </c>
    </row>
    <row r="83" spans="1:2" x14ac:dyDescent="0.3">
      <c r="A83" s="2" t="s">
        <v>35</v>
      </c>
      <c r="B83" s="8">
        <v>174</v>
      </c>
    </row>
    <row r="84" spans="1:2" x14ac:dyDescent="0.3">
      <c r="A84" s="2" t="s">
        <v>37</v>
      </c>
      <c r="B84" s="8">
        <v>596</v>
      </c>
    </row>
    <row r="85" spans="1:2" x14ac:dyDescent="0.3">
      <c r="A85" s="2" t="s">
        <v>1</v>
      </c>
      <c r="B85" s="3">
        <v>991</v>
      </c>
    </row>
    <row r="88" spans="1:2" x14ac:dyDescent="0.3">
      <c r="A88" s="1" t="s">
        <v>0</v>
      </c>
    </row>
    <row r="89" spans="1:2" x14ac:dyDescent="0.3">
      <c r="A89" s="2" t="s">
        <v>43</v>
      </c>
    </row>
    <row r="90" spans="1:2" x14ac:dyDescent="0.3">
      <c r="A90" s="12" t="s">
        <v>45</v>
      </c>
    </row>
    <row r="91" spans="1:2" x14ac:dyDescent="0.3">
      <c r="A91" s="13" t="s">
        <v>76</v>
      </c>
    </row>
    <row r="92" spans="1:2" x14ac:dyDescent="0.3">
      <c r="A92" s="14">
        <v>45078</v>
      </c>
    </row>
    <row r="93" spans="1:2" x14ac:dyDescent="0.3">
      <c r="A93" s="14">
        <v>45079</v>
      </c>
    </row>
    <row r="94" spans="1:2" x14ac:dyDescent="0.3">
      <c r="A94" s="14">
        <v>45080</v>
      </c>
    </row>
    <row r="95" spans="1:2" x14ac:dyDescent="0.3">
      <c r="A95" s="14">
        <v>45081</v>
      </c>
    </row>
    <row r="96" spans="1:2" x14ac:dyDescent="0.3">
      <c r="A96" s="14">
        <v>45082</v>
      </c>
    </row>
    <row r="97" spans="1:1" x14ac:dyDescent="0.3">
      <c r="A97" s="14">
        <v>45083</v>
      </c>
    </row>
    <row r="98" spans="1:1" x14ac:dyDescent="0.3">
      <c r="A98" s="14">
        <v>45084</v>
      </c>
    </row>
    <row r="99" spans="1:1" x14ac:dyDescent="0.3">
      <c r="A99" s="14">
        <v>45085</v>
      </c>
    </row>
    <row r="100" spans="1:1" x14ac:dyDescent="0.3">
      <c r="A100" s="14">
        <v>45086</v>
      </c>
    </row>
    <row r="101" spans="1:1" x14ac:dyDescent="0.3">
      <c r="A101" s="14">
        <v>45087</v>
      </c>
    </row>
    <row r="102" spans="1:1" x14ac:dyDescent="0.3">
      <c r="A102" s="14">
        <v>45088</v>
      </c>
    </row>
    <row r="103" spans="1:1" x14ac:dyDescent="0.3">
      <c r="A103" s="14">
        <v>45089</v>
      </c>
    </row>
    <row r="104" spans="1:1" x14ac:dyDescent="0.3">
      <c r="A104" s="14">
        <v>45090</v>
      </c>
    </row>
    <row r="105" spans="1:1" x14ac:dyDescent="0.3">
      <c r="A105" s="14">
        <v>45091</v>
      </c>
    </row>
    <row r="106" spans="1:1" x14ac:dyDescent="0.3">
      <c r="A106" s="14">
        <v>45092</v>
      </c>
    </row>
    <row r="107" spans="1:1" x14ac:dyDescent="0.3">
      <c r="A107" s="14">
        <v>45093</v>
      </c>
    </row>
    <row r="108" spans="1:1" x14ac:dyDescent="0.3">
      <c r="A108" s="14">
        <v>45094</v>
      </c>
    </row>
    <row r="109" spans="1:1" x14ac:dyDescent="0.3">
      <c r="A109" s="14">
        <v>45095</v>
      </c>
    </row>
    <row r="110" spans="1:1" x14ac:dyDescent="0.3">
      <c r="A110" s="14">
        <v>45096</v>
      </c>
    </row>
    <row r="111" spans="1:1" x14ac:dyDescent="0.3">
      <c r="A111" s="14">
        <v>45097</v>
      </c>
    </row>
    <row r="112" spans="1:1" x14ac:dyDescent="0.3">
      <c r="A112" s="14">
        <v>45098</v>
      </c>
    </row>
    <row r="113" spans="1:1" x14ac:dyDescent="0.3">
      <c r="A113" s="14">
        <v>45099</v>
      </c>
    </row>
    <row r="114" spans="1:1" x14ac:dyDescent="0.3">
      <c r="A114" s="14">
        <v>45100</v>
      </c>
    </row>
    <row r="115" spans="1:1" x14ac:dyDescent="0.3">
      <c r="A115" s="14">
        <v>45101</v>
      </c>
    </row>
    <row r="116" spans="1:1" x14ac:dyDescent="0.3">
      <c r="A116" s="14">
        <v>45102</v>
      </c>
    </row>
    <row r="117" spans="1:1" x14ac:dyDescent="0.3">
      <c r="A117" s="14">
        <v>45103</v>
      </c>
    </row>
    <row r="118" spans="1:1" x14ac:dyDescent="0.3">
      <c r="A118" s="14">
        <v>45104</v>
      </c>
    </row>
    <row r="119" spans="1:1" x14ac:dyDescent="0.3">
      <c r="A119" s="14">
        <v>45105</v>
      </c>
    </row>
    <row r="120" spans="1:1" x14ac:dyDescent="0.3">
      <c r="A120" s="14">
        <v>45106</v>
      </c>
    </row>
    <row r="121" spans="1:1" x14ac:dyDescent="0.3">
      <c r="A121" s="14">
        <v>45107</v>
      </c>
    </row>
    <row r="122" spans="1:1" x14ac:dyDescent="0.3">
      <c r="A122" s="2" t="s">
        <v>44</v>
      </c>
    </row>
    <row r="123" spans="1:1" x14ac:dyDescent="0.3">
      <c r="A123" s="12" t="s">
        <v>45</v>
      </c>
    </row>
    <row r="124" spans="1:1" x14ac:dyDescent="0.3">
      <c r="A124" s="13" t="s">
        <v>76</v>
      </c>
    </row>
    <row r="125" spans="1:1" x14ac:dyDescent="0.3">
      <c r="A125" s="14">
        <v>45444</v>
      </c>
    </row>
    <row r="126" spans="1:1" x14ac:dyDescent="0.3">
      <c r="A126" s="14">
        <v>45445</v>
      </c>
    </row>
    <row r="127" spans="1:1" x14ac:dyDescent="0.3">
      <c r="A127" s="14">
        <v>45446</v>
      </c>
    </row>
    <row r="128" spans="1:1" x14ac:dyDescent="0.3">
      <c r="A128" s="14">
        <v>45447</v>
      </c>
    </row>
    <row r="129" spans="1:1" x14ac:dyDescent="0.3">
      <c r="A129" s="14">
        <v>45448</v>
      </c>
    </row>
    <row r="130" spans="1:1" x14ac:dyDescent="0.3">
      <c r="A130" s="14">
        <v>45449</v>
      </c>
    </row>
    <row r="131" spans="1:1" x14ac:dyDescent="0.3">
      <c r="A131" s="14">
        <v>45450</v>
      </c>
    </row>
    <row r="132" spans="1:1" x14ac:dyDescent="0.3">
      <c r="A132" s="14">
        <v>45451</v>
      </c>
    </row>
    <row r="133" spans="1:1" x14ac:dyDescent="0.3">
      <c r="A133" s="14">
        <v>45452</v>
      </c>
    </row>
    <row r="134" spans="1:1" x14ac:dyDescent="0.3">
      <c r="A134" s="14">
        <v>45453</v>
      </c>
    </row>
    <row r="135" spans="1:1" x14ac:dyDescent="0.3">
      <c r="A135" s="14">
        <v>45454</v>
      </c>
    </row>
    <row r="136" spans="1:1" x14ac:dyDescent="0.3">
      <c r="A136" s="14">
        <v>45455</v>
      </c>
    </row>
    <row r="137" spans="1:1" x14ac:dyDescent="0.3">
      <c r="A137" s="14">
        <v>45456</v>
      </c>
    </row>
    <row r="138" spans="1:1" x14ac:dyDescent="0.3">
      <c r="A138" s="14">
        <v>45457</v>
      </c>
    </row>
    <row r="139" spans="1:1" x14ac:dyDescent="0.3">
      <c r="A139" s="14">
        <v>45458</v>
      </c>
    </row>
    <row r="140" spans="1:1" x14ac:dyDescent="0.3">
      <c r="A140" s="14">
        <v>45459</v>
      </c>
    </row>
    <row r="141" spans="1:1" x14ac:dyDescent="0.3">
      <c r="A141" s="14">
        <v>45460</v>
      </c>
    </row>
    <row r="142" spans="1:1" x14ac:dyDescent="0.3">
      <c r="A142" s="14">
        <v>45461</v>
      </c>
    </row>
    <row r="143" spans="1:1" x14ac:dyDescent="0.3">
      <c r="A143" s="14">
        <v>45462</v>
      </c>
    </row>
    <row r="144" spans="1:1" x14ac:dyDescent="0.3">
      <c r="A144" s="14">
        <v>45463</v>
      </c>
    </row>
    <row r="145" spans="1:1" x14ac:dyDescent="0.3">
      <c r="A145" s="14">
        <v>45464</v>
      </c>
    </row>
    <row r="146" spans="1:1" x14ac:dyDescent="0.3">
      <c r="A146" s="14">
        <v>45465</v>
      </c>
    </row>
    <row r="147" spans="1:1" x14ac:dyDescent="0.3">
      <c r="A147" s="14">
        <v>45466</v>
      </c>
    </row>
    <row r="148" spans="1:1" x14ac:dyDescent="0.3">
      <c r="A148" s="14">
        <v>45467</v>
      </c>
    </row>
    <row r="149" spans="1:1" x14ac:dyDescent="0.3">
      <c r="A149" s="14">
        <v>45468</v>
      </c>
    </row>
    <row r="150" spans="1:1" x14ac:dyDescent="0.3">
      <c r="A150" s="14">
        <v>45469</v>
      </c>
    </row>
    <row r="151" spans="1:1" x14ac:dyDescent="0.3">
      <c r="A151" s="14">
        <v>45470</v>
      </c>
    </row>
    <row r="152" spans="1:1" x14ac:dyDescent="0.3">
      <c r="A152" s="14">
        <v>45471</v>
      </c>
    </row>
    <row r="153" spans="1:1" x14ac:dyDescent="0.3">
      <c r="A153" s="14">
        <v>45472</v>
      </c>
    </row>
    <row r="154" spans="1:1" x14ac:dyDescent="0.3">
      <c r="A154" s="14">
        <v>45473</v>
      </c>
    </row>
    <row r="155" spans="1:1" x14ac:dyDescent="0.3">
      <c r="A155" s="2" t="s">
        <v>1</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2D780-E94E-4DAC-990E-2B065C9A89DF}">
  <dimension ref="C6"/>
  <sheetViews>
    <sheetView tabSelected="1" zoomScale="90" zoomScaleNormal="90" workbookViewId="0">
      <selection activeCell="W15" sqref="W15"/>
    </sheetView>
  </sheetViews>
  <sheetFormatPr defaultRowHeight="14.4" x14ac:dyDescent="0.3"/>
  <cols>
    <col min="1" max="16384" width="8.88671875" style="4"/>
  </cols>
  <sheetData>
    <row r="6" spans="3:3" x14ac:dyDescent="0.3">
      <c r="C6" s="4" t="e" vm="1">
        <v>#VALUE!</v>
      </c>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5CEBA-8BF3-4741-BA82-D158E14BFE8D}">
  <dimension ref="A1:AS45"/>
  <sheetViews>
    <sheetView workbookViewId="0"/>
  </sheetViews>
  <sheetFormatPr defaultRowHeight="14.4" x14ac:dyDescent="0.3"/>
  <cols>
    <col min="1" max="16384" width="8.88671875" style="6"/>
  </cols>
  <sheetData>
    <row r="1" spans="1:45" x14ac:dyDescent="0.3">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row>
    <row r="2" spans="1:45" x14ac:dyDescent="0.3">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row>
    <row r="3" spans="1:45" x14ac:dyDescent="0.3">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row>
    <row r="4" spans="1:45" x14ac:dyDescent="0.3">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row>
    <row r="5" spans="1:45" x14ac:dyDescent="0.3">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6" spans="1:45" x14ac:dyDescent="0.3">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row>
    <row r="7" spans="1:45" x14ac:dyDescent="0.3">
      <c r="A7" s="5"/>
      <c r="B7" s="5"/>
      <c r="C7" s="5"/>
      <c r="D7" s="5"/>
      <c r="E7" s="5"/>
      <c r="F7" s="5"/>
      <c r="G7" s="5"/>
      <c r="H7" s="5"/>
      <c r="I7" s="5"/>
      <c r="J7" s="5"/>
      <c r="K7" s="5"/>
      <c r="L7" s="5"/>
      <c r="M7" s="5"/>
      <c r="N7" s="5"/>
      <c r="O7" s="7"/>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row>
    <row r="8" spans="1:45" x14ac:dyDescent="0.3">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row>
    <row r="9" spans="1:45" x14ac:dyDescent="0.3">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row>
    <row r="10" spans="1:45" x14ac:dyDescent="0.3">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row>
    <row r="11" spans="1:45" x14ac:dyDescent="0.3">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row>
    <row r="12" spans="1:45" x14ac:dyDescent="0.3">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row>
    <row r="13" spans="1:45" x14ac:dyDescent="0.3">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row>
    <row r="14" spans="1:45" x14ac:dyDescent="0.3">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row>
    <row r="15" spans="1:45" x14ac:dyDescent="0.3">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row>
    <row r="16" spans="1:45" x14ac:dyDescent="0.3">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row>
    <row r="17" spans="1:45" x14ac:dyDescent="0.3">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row>
    <row r="18" spans="1:45" x14ac:dyDescent="0.3">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row>
    <row r="19" spans="1:45" x14ac:dyDescent="0.3">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row>
    <row r="20" spans="1:45" x14ac:dyDescent="0.3">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row>
    <row r="21" spans="1:45" x14ac:dyDescent="0.3">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row>
    <row r="22" spans="1:45" x14ac:dyDescent="0.3">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row>
    <row r="23" spans="1:45" x14ac:dyDescent="0.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row>
    <row r="24" spans="1:45" x14ac:dyDescent="0.3">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row>
    <row r="25" spans="1:45" x14ac:dyDescent="0.3">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row>
    <row r="26" spans="1:45" x14ac:dyDescent="0.3">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row>
    <row r="27" spans="1:45" x14ac:dyDescent="0.3">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row>
    <row r="28" spans="1:45" x14ac:dyDescent="0.3">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row>
    <row r="29" spans="1:45" x14ac:dyDescent="0.3">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row>
    <row r="30" spans="1:45" x14ac:dyDescent="0.3">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row>
    <row r="31" spans="1:45" x14ac:dyDescent="0.3">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row>
    <row r="32" spans="1:45" x14ac:dyDescent="0.3">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row>
    <row r="33" spans="1:45" x14ac:dyDescent="0.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row>
    <row r="34" spans="1:45" x14ac:dyDescent="0.3">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row>
    <row r="35" spans="1:45" x14ac:dyDescent="0.3">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row>
    <row r="36" spans="1:45" x14ac:dyDescent="0.3">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row>
    <row r="37" spans="1:45" x14ac:dyDescent="0.3">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row>
    <row r="38" spans="1:45" x14ac:dyDescent="0.3">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row>
    <row r="39" spans="1:45" x14ac:dyDescent="0.3">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row>
    <row r="40" spans="1:45" x14ac:dyDescent="0.3">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row>
    <row r="41" spans="1:45" x14ac:dyDescent="0.3">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row>
    <row r="42" spans="1:45" x14ac:dyDescent="0.3">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row>
    <row r="43" spans="1:45" x14ac:dyDescent="0.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row>
    <row r="44" spans="1:45" x14ac:dyDescent="0.3">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row>
    <row r="45" spans="1:45" x14ac:dyDescent="0.3">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178A1-CD47-4347-9FD9-1DDEF72DB73C}">
  <dimension ref="A1"/>
  <sheetViews>
    <sheetView workbookViewId="0"/>
  </sheetViews>
  <sheetFormatPr defaultRowHeight="14.4" x14ac:dyDescent="0.3"/>
  <cols>
    <col min="1" max="16384" width="8.88671875" style="6"/>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38162-6826-454F-A0CB-6146B2C5F893}">
  <dimension ref="A1"/>
  <sheetViews>
    <sheetView workbookViewId="0"/>
  </sheetViews>
  <sheetFormatPr defaultRowHeight="14.4" x14ac:dyDescent="0.3"/>
  <cols>
    <col min="1" max="16384" width="8.88671875" style="6"/>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492AADCD-FE51-400A-9341-D4A87E05E963}">
  <ds:schemaRefs/>
</ds:datastoreItem>
</file>

<file path=customXml/itemProps2.xml><?xml version="1.0" encoding="utf-8"?>
<ds:datastoreItem xmlns:ds="http://schemas.openxmlformats.org/officeDocument/2006/customXml" ds:itemID="{2C1A5C6F-4E6E-4F3D-9056-E70E0B185AF2}">
  <ds:schemaRefs/>
</ds:datastoreItem>
</file>

<file path=customXml/itemProps3.xml><?xml version="1.0" encoding="utf-8"?>
<ds:datastoreItem xmlns:ds="http://schemas.openxmlformats.org/officeDocument/2006/customXml" ds:itemID="{08C86EFC-C43E-4297-AB68-86BDD954C2A2}">
  <ds:schemaRefs/>
</ds:datastoreItem>
</file>

<file path=customXml/itemProps4.xml><?xml version="1.0" encoding="utf-8"?>
<ds:datastoreItem xmlns:ds="http://schemas.openxmlformats.org/officeDocument/2006/customXml" ds:itemID="{BCBCA61C-A07A-430E-80D2-B528CA87B512}">
  <ds:schemaRefs/>
</ds:datastoreItem>
</file>

<file path=customXml/itemProps5.xml><?xml version="1.0" encoding="utf-8"?>
<ds:datastoreItem xmlns:ds="http://schemas.openxmlformats.org/officeDocument/2006/customXml" ds:itemID="{F2F091C9-3757-480B-ADFF-39C0C1B0E0DF}">
  <ds:schemaRefs/>
</ds:datastoreItem>
</file>

<file path=customXml/itemProps6.xml><?xml version="1.0" encoding="utf-8"?>
<ds:datastoreItem xmlns:ds="http://schemas.openxmlformats.org/officeDocument/2006/customXml" ds:itemID="{1686A7D8-51AF-4380-8763-7DFF0B2DF2CF}">
  <ds:schemaRefs/>
</ds:datastoreItem>
</file>

<file path=customXml/itemProps7.xml><?xml version="1.0" encoding="utf-8"?>
<ds:datastoreItem xmlns:ds="http://schemas.openxmlformats.org/officeDocument/2006/customXml" ds:itemID="{8AD8CC40-AB74-4EC2-A6B2-394FD8CEAA6E}">
  <ds:schemaRefs/>
</ds:datastoreItem>
</file>

<file path=customXml/itemProps8.xml><?xml version="1.0" encoding="utf-8"?>
<ds:datastoreItem xmlns:ds="http://schemas.openxmlformats.org/officeDocument/2006/customXml" ds:itemID="{3BED24A6-3B50-4DF2-944F-6EFF26AB6EE2}">
  <ds:schemaRefs/>
</ds:datastoreItem>
</file>

<file path=customXml/itemProps9.xml><?xml version="1.0" encoding="utf-8"?>
<ds:datastoreItem xmlns:ds="http://schemas.openxmlformats.org/officeDocument/2006/customXml" ds:itemID="{79909639-66A7-42C5-81E0-A34DEE2E83AA}">
  <ds:schemaRefs/>
</ds:datastoreItem>
</file>

<file path=customXml/itemProps10.xml><?xml version="1.0" encoding="utf-8"?>
<ds:datastoreItem xmlns:ds="http://schemas.openxmlformats.org/officeDocument/2006/customXml" ds:itemID="{C882F507-EFB1-4FFB-A0B1-D5E9128FF91C}">
  <ds:schemaRefs/>
</ds:datastoreItem>
</file>

<file path=customXml/itemProps11.xml><?xml version="1.0" encoding="utf-8"?>
<ds:datastoreItem xmlns:ds="http://schemas.openxmlformats.org/officeDocument/2006/customXml" ds:itemID="{F6F82B53-7D1C-4525-9B3B-817E7A9D1E27}">
  <ds:schemaRefs/>
</ds:datastoreItem>
</file>

<file path=customXml/itemProps12.xml><?xml version="1.0" encoding="utf-8"?>
<ds:datastoreItem xmlns:ds="http://schemas.openxmlformats.org/officeDocument/2006/customXml" ds:itemID="{6636B22E-BAD6-44B7-B4FE-5836CDEB4A38}">
  <ds:schemaRefs/>
</ds:datastoreItem>
</file>

<file path=customXml/itemProps13.xml><?xml version="1.0" encoding="utf-8"?>
<ds:datastoreItem xmlns:ds="http://schemas.openxmlformats.org/officeDocument/2006/customXml" ds:itemID="{9262950B-3A29-4426-AB12-86ED8BAA27CA}">
  <ds:schemaRefs/>
</ds:datastoreItem>
</file>

<file path=customXml/itemProps14.xml><?xml version="1.0" encoding="utf-8"?>
<ds:datastoreItem xmlns:ds="http://schemas.openxmlformats.org/officeDocument/2006/customXml" ds:itemID="{73D6C34B-73C3-49A5-9F40-8FD434787A1F}">
  <ds:schemaRefs/>
</ds:datastoreItem>
</file>

<file path=customXml/itemProps15.xml><?xml version="1.0" encoding="utf-8"?>
<ds:datastoreItem xmlns:ds="http://schemas.openxmlformats.org/officeDocument/2006/customXml" ds:itemID="{5D688367-6FB2-4AA9-8974-AE96B63FF35F}">
  <ds:schemaRefs>
    <ds:schemaRef ds:uri="http://schemas.microsoft.com/DataMashup"/>
  </ds:schemaRefs>
</ds:datastoreItem>
</file>

<file path=customXml/itemProps16.xml><?xml version="1.0" encoding="utf-8"?>
<ds:datastoreItem xmlns:ds="http://schemas.openxmlformats.org/officeDocument/2006/customXml" ds:itemID="{729889B5-B57F-4370-B32A-27684ED59ED1}">
  <ds:schemaRefs/>
</ds:datastoreItem>
</file>

<file path=customXml/itemProps17.xml><?xml version="1.0" encoding="utf-8"?>
<ds:datastoreItem xmlns:ds="http://schemas.openxmlformats.org/officeDocument/2006/customXml" ds:itemID="{807588C7-F86B-4EAC-8FCC-CF8B9A6F3F78}">
  <ds:schemaRefs/>
</ds:datastoreItem>
</file>

<file path=customXml/itemProps18.xml><?xml version="1.0" encoding="utf-8"?>
<ds:datastoreItem xmlns:ds="http://schemas.openxmlformats.org/officeDocument/2006/customXml" ds:itemID="{3628E5CD-7D8D-4582-8A6A-9BEEEA8A18B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vt:lpstr>
      <vt:lpstr>Average Wait Time</vt:lpstr>
      <vt:lpstr>Satisfaction Score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monikagautam19799@gmail.com</dc:creator>
  <cp:lastModifiedBy>monikagautam19799@gmail.com</cp:lastModifiedBy>
  <dcterms:created xsi:type="dcterms:W3CDTF">2026-09-21T10:48:11Z</dcterms:created>
  <dcterms:modified xsi:type="dcterms:W3CDTF">2026-09-22T13:51:41Z</dcterms:modified>
</cp:coreProperties>
</file>